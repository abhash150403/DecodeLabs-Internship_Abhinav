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\Downloads\"/>
    </mc:Choice>
  </mc:AlternateContent>
  <xr:revisionPtr revIDLastSave="0" documentId="13_ncr:1_{9615D65D-1A37-42A6-92D1-8C53C5FD1501}" xr6:coauthVersionLast="47" xr6:coauthVersionMax="47" xr10:uidLastSave="{00000000-0000-0000-0000-000000000000}"/>
  <bookViews>
    <workbookView xWindow="-108" yWindow="-108" windowWidth="23256" windowHeight="12456" activeTab="2" xr2:uid="{7D21D165-C868-466E-A230-DA4791426C7A}"/>
  </bookViews>
  <sheets>
    <sheet name="Cleaned Data" sheetId="9" r:id="rId1"/>
    <sheet name="EDA Statistics" sheetId="4" r:id="rId2"/>
    <sheet name="City Analysis" sheetId="5" r:id="rId3"/>
    <sheet name="Outlier Analysis" sheetId="6" r:id="rId4"/>
    <sheet name="Charts &amp; Insights" sheetId="7" r:id="rId5"/>
    <sheet name="Insights" sheetId="8" r:id="rId6"/>
  </sheets>
  <definedNames>
    <definedName name="_xlchart.v1.0" hidden="1">'Cleaned Data'!$F$1</definedName>
    <definedName name="_xlchart.v1.1" hidden="1">'Cleaned Data'!$F$2:$F$51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5" l="1"/>
  <c r="C3" i="5"/>
  <c r="C2" i="5"/>
  <c r="B4" i="5"/>
  <c r="B3" i="5"/>
  <c r="B2" i="5"/>
  <c r="B4" i="6"/>
  <c r="B5" i="6" s="1"/>
  <c r="B6" i="6" l="1"/>
</calcChain>
</file>

<file path=xl/sharedStrings.xml><?xml version="1.0" encoding="utf-8"?>
<sst xmlns="http://schemas.openxmlformats.org/spreadsheetml/2006/main" count="151" uniqueCount="83">
  <si>
    <t>Age</t>
  </si>
  <si>
    <t>City</t>
  </si>
  <si>
    <t>Salary</t>
  </si>
  <si>
    <t>Delhi</t>
  </si>
  <si>
    <t>Noida</t>
  </si>
  <si>
    <t>Ghaziabad</t>
  </si>
  <si>
    <t>Statistics</t>
  </si>
  <si>
    <t>Count</t>
  </si>
  <si>
    <t>Mean</t>
  </si>
  <si>
    <t>Median</t>
  </si>
  <si>
    <t>Minimum</t>
  </si>
  <si>
    <t>Maximum</t>
  </si>
  <si>
    <t>Employee Count</t>
  </si>
  <si>
    <t>Average Salary</t>
  </si>
  <si>
    <t>Median Salary</t>
  </si>
  <si>
    <t>Measure</t>
  </si>
  <si>
    <t>Value</t>
  </si>
  <si>
    <t>Q1</t>
  </si>
  <si>
    <t>Q3</t>
  </si>
  <si>
    <t>IQR</t>
  </si>
  <si>
    <t>Lower Bound</t>
  </si>
  <si>
    <t>Upper Bound</t>
  </si>
  <si>
    <t>A</t>
  </si>
  <si>
    <t>B</t>
  </si>
  <si>
    <t>Key Insights from Exploratory Data Analysis</t>
  </si>
  <si>
    <t>Age Analysis</t>
  </si>
  <si>
    <t>Salary Analysis</t>
  </si>
  <si>
    <t>City Analysis</t>
  </si>
  <si>
    <t>Outlier Analysis</t>
  </si>
  <si>
    <t>Age and Salary Relationship</t>
  </si>
  <si>
    <t>Overall Observation</t>
  </si>
  <si>
    <t>The dataset contains 50 employees with ages ranging from 19 to 25 years. The average age is 21.94 years and the median age is 22 years.</t>
  </si>
  <si>
    <t>The average salary is ₹32,260, while the median salary is ₹31,000. Salaries range from ₹25,000 to ₹45,000.</t>
  </si>
  <si>
    <t>Delhi has the highest number of employees with 21 employees. Noida has the highest average salary at approximately ₹33,412.</t>
  </si>
  <si>
    <t>A salary of ₹45,000 was identified as an outlier using the IQR method because it is above the calculated upper bound of ₹44,000.</t>
  </si>
  <si>
    <t>Age and salary show a positive relationship in this dataset. This means that higher ages generally correspond with higher salaries within these records.</t>
  </si>
  <si>
    <t>The dataset represents a relatively young group, with most salaries concentrated between ₹25,000 and ₹35,000. The analysis also identified ₹45,000 as an unusually high salary value.</t>
  </si>
  <si>
    <t>Histogram</t>
  </si>
  <si>
    <t>Column Chart</t>
  </si>
  <si>
    <t>Scatter Plot</t>
  </si>
  <si>
    <t>ID</t>
  </si>
  <si>
    <t>Name</t>
  </si>
  <si>
    <t>Joining Date</t>
  </si>
  <si>
    <t>Rahul Sharma</t>
  </si>
  <si>
    <t>Aman Verma</t>
  </si>
  <si>
    <t>Priya Singh</t>
  </si>
  <si>
    <t>Riya Gupta</t>
  </si>
  <si>
    <t>Arjun Mehta</t>
  </si>
  <si>
    <t>Neha Kapoor</t>
  </si>
  <si>
    <t>Karan Malhotra</t>
  </si>
  <si>
    <t>Simran Kaur</t>
  </si>
  <si>
    <t>Mohit Kumar</t>
  </si>
  <si>
    <t>Anjali Verma</t>
  </si>
  <si>
    <t>Rohit Sharma</t>
  </si>
  <si>
    <t>Komal Gupta</t>
  </si>
  <si>
    <t>Vikas Singh</t>
  </si>
  <si>
    <t>Pooja Yadav</t>
  </si>
  <si>
    <t>Aditya Jain</t>
  </si>
  <si>
    <t>Nisha Sharma</t>
  </si>
  <si>
    <t>Varun Mehta</t>
  </si>
  <si>
    <t>Sneha Kapoor</t>
  </si>
  <si>
    <t>Manish Verma</t>
  </si>
  <si>
    <t>Kajal Singh</t>
  </si>
  <si>
    <t>Ravi Kumar</t>
  </si>
  <si>
    <t>Isha Gupta</t>
  </si>
  <si>
    <t>Abhishek Roy</t>
  </si>
  <si>
    <t>Tanya Sharma</t>
  </si>
  <si>
    <t>Sachin Yadav</t>
  </si>
  <si>
    <t>Divya Singh</t>
  </si>
  <si>
    <t>Nitin Kumar</t>
  </si>
  <si>
    <t>Shreya Jain</t>
  </si>
  <si>
    <t>Deepak Verma</t>
  </si>
  <si>
    <t>Megha Kapoor</t>
  </si>
  <si>
    <t>Saurabh Sharma</t>
  </si>
  <si>
    <t>Ritika Gupta</t>
  </si>
  <si>
    <t>Ankit Singh</t>
  </si>
  <si>
    <t>Muskan Yadav</t>
  </si>
  <si>
    <t>Gaurav Mehta</t>
  </si>
  <si>
    <t>Preeti Kumar</t>
  </si>
  <si>
    <t>Raj Malhotra</t>
  </si>
  <si>
    <t>Payal Sharma</t>
  </si>
  <si>
    <t>Akash Verma</t>
  </si>
  <si>
    <t>Shalini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</si>
</sst>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Arial Black"/>
      <family val="2"/>
    </font>
    <font>
      <sz val="16"/>
      <color theme="1"/>
      <name val="Arial Black"/>
      <family val="2"/>
    </font>
    <font>
      <sz val="11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" fontId="0" fillId="0" borderId="0" xfId="0" applyNumberFormat="1" applyAlignment="1">
      <alignment horizontal="right" vertical="center" wrapText="1"/>
    </xf>
    <xf numFmtId="0" fontId="3" fillId="0" borderId="0" xfId="0" applyFont="1"/>
    <xf numFmtId="0" fontId="4" fillId="0" borderId="0" xfId="0" applyFont="1"/>
    <xf numFmtId="164" fontId="0" fillId="0" borderId="0" xfId="0" applyNumberFormat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&amp; Insights'!$K$3:$K$4</c:f>
              <c:strCache>
                <c:ptCount val="2"/>
                <c:pt idx="0">
                  <c:v>B</c:v>
                </c:pt>
                <c:pt idx="1">
                  <c:v>Average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 &amp; Insights'!$J$5:$J$7</c:f>
              <c:strCache>
                <c:ptCount val="3"/>
                <c:pt idx="0">
                  <c:v>Delhi</c:v>
                </c:pt>
                <c:pt idx="1">
                  <c:v>Noida</c:v>
                </c:pt>
                <c:pt idx="2">
                  <c:v>Ghaziabad</c:v>
                </c:pt>
              </c:strCache>
            </c:strRef>
          </c:cat>
          <c:val>
            <c:numRef>
              <c:f>'Charts &amp; Insights'!$K$5:$K$7</c:f>
              <c:numCache>
                <c:formatCode>General</c:formatCode>
                <c:ptCount val="3"/>
                <c:pt idx="0">
                  <c:v>31476</c:v>
                </c:pt>
                <c:pt idx="1">
                  <c:v>33412</c:v>
                </c:pt>
                <c:pt idx="2">
                  <c:v>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2-41F0-BBD6-BEEA436F0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5366752"/>
        <c:axId val="1445359552"/>
      </c:barChart>
      <c:catAx>
        <c:axId val="144536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59552"/>
        <c:crosses val="autoZero"/>
        <c:auto val="1"/>
        <c:lblAlgn val="ctr"/>
        <c:lblOffset val="100"/>
        <c:noMultiLvlLbl val="0"/>
      </c:catAx>
      <c:valAx>
        <c:axId val="144535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66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Age vs Salary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50"/>
              <c:pt idx="0">
                <c:v>21</c:v>
              </c:pt>
              <c:pt idx="1">
                <c:v>22</c:v>
              </c:pt>
              <c:pt idx="2">
                <c:v>20</c:v>
              </c:pt>
              <c:pt idx="3">
                <c:v>22</c:v>
              </c:pt>
              <c:pt idx="4">
                <c:v>23</c:v>
              </c:pt>
              <c:pt idx="5">
                <c:v>21</c:v>
              </c:pt>
              <c:pt idx="6">
                <c:v>22</c:v>
              </c:pt>
              <c:pt idx="7">
                <c:v>22</c:v>
              </c:pt>
              <c:pt idx="8">
                <c:v>21</c:v>
              </c:pt>
              <c:pt idx="9">
                <c:v>20</c:v>
              </c:pt>
              <c:pt idx="10">
                <c:v>24</c:v>
              </c:pt>
              <c:pt idx="11">
                <c:v>23</c:v>
              </c:pt>
              <c:pt idx="12">
                <c:v>22</c:v>
              </c:pt>
              <c:pt idx="13">
                <c:v>22</c:v>
              </c:pt>
              <c:pt idx="14">
                <c:v>25</c:v>
              </c:pt>
              <c:pt idx="15">
                <c:v>21</c:v>
              </c:pt>
              <c:pt idx="16">
                <c:v>23</c:v>
              </c:pt>
              <c:pt idx="17">
                <c:v>22</c:v>
              </c:pt>
              <c:pt idx="18">
                <c:v>22</c:v>
              </c:pt>
              <c:pt idx="19">
                <c:v>24</c:v>
              </c:pt>
              <c:pt idx="20">
                <c:v>23</c:v>
              </c:pt>
              <c:pt idx="21">
                <c:v>20</c:v>
              </c:pt>
              <c:pt idx="22">
                <c:v>22</c:v>
              </c:pt>
              <c:pt idx="23">
                <c:v>22</c:v>
              </c:pt>
              <c:pt idx="24">
                <c:v>24</c:v>
              </c:pt>
              <c:pt idx="25">
                <c:v>21</c:v>
              </c:pt>
              <c:pt idx="26">
                <c:v>23</c:v>
              </c:pt>
              <c:pt idx="27">
                <c:v>20</c:v>
              </c:pt>
              <c:pt idx="28">
                <c:v>25</c:v>
              </c:pt>
              <c:pt idx="29">
                <c:v>22</c:v>
              </c:pt>
              <c:pt idx="30">
                <c:v>22</c:v>
              </c:pt>
              <c:pt idx="31">
                <c:v>23</c:v>
              </c:pt>
              <c:pt idx="32">
                <c:v>24</c:v>
              </c:pt>
              <c:pt idx="33">
                <c:v>21</c:v>
              </c:pt>
              <c:pt idx="34">
                <c:v>23</c:v>
              </c:pt>
              <c:pt idx="35">
                <c:v>20</c:v>
              </c:pt>
              <c:pt idx="36">
                <c:v>22</c:v>
              </c:pt>
              <c:pt idx="37">
                <c:v>22</c:v>
              </c:pt>
              <c:pt idx="38">
                <c:v>24</c:v>
              </c:pt>
              <c:pt idx="39">
                <c:v>21</c:v>
              </c:pt>
              <c:pt idx="40">
                <c:v>21</c:v>
              </c:pt>
              <c:pt idx="41">
                <c:v>22</c:v>
              </c:pt>
              <c:pt idx="42">
                <c:v>20</c:v>
              </c:pt>
              <c:pt idx="43">
                <c:v>19</c:v>
              </c:pt>
              <c:pt idx="44">
                <c:v>23</c:v>
              </c:pt>
              <c:pt idx="45">
                <c:v>21</c:v>
              </c:pt>
              <c:pt idx="46">
                <c:v>22</c:v>
              </c:pt>
              <c:pt idx="47">
                <c:v>22</c:v>
              </c:pt>
              <c:pt idx="48">
                <c:v>21</c:v>
              </c:pt>
              <c:pt idx="49">
                <c:v>20</c:v>
              </c:pt>
            </c:numLit>
          </c:xVal>
          <c:yVal>
            <c:numLit>
              <c:formatCode>General</c:formatCode>
              <c:ptCount val="50"/>
              <c:pt idx="0">
                <c:v>25000</c:v>
              </c:pt>
              <c:pt idx="1">
                <c:v>30000</c:v>
              </c:pt>
              <c:pt idx="2">
                <c:v>28000</c:v>
              </c:pt>
              <c:pt idx="3">
                <c:v>32000</c:v>
              </c:pt>
              <c:pt idx="4">
                <c:v>35000</c:v>
              </c:pt>
              <c:pt idx="5">
                <c:v>29000</c:v>
              </c:pt>
              <c:pt idx="6">
                <c:v>30000</c:v>
              </c:pt>
              <c:pt idx="7">
                <c:v>31000</c:v>
              </c:pt>
              <c:pt idx="8">
                <c:v>31000</c:v>
              </c:pt>
              <c:pt idx="9">
                <c:v>27000</c:v>
              </c:pt>
              <c:pt idx="10">
                <c:v>40000</c:v>
              </c:pt>
              <c:pt idx="11">
                <c:v>33000</c:v>
              </c:pt>
              <c:pt idx="12">
                <c:v>36000</c:v>
              </c:pt>
              <c:pt idx="13">
                <c:v>28000</c:v>
              </c:pt>
              <c:pt idx="14">
                <c:v>45000</c:v>
              </c:pt>
              <c:pt idx="15">
                <c:v>29000</c:v>
              </c:pt>
              <c:pt idx="16">
                <c:v>38000</c:v>
              </c:pt>
              <c:pt idx="17">
                <c:v>31000</c:v>
              </c:pt>
              <c:pt idx="18">
                <c:v>34000</c:v>
              </c:pt>
              <c:pt idx="19">
                <c:v>36000</c:v>
              </c:pt>
              <c:pt idx="20">
                <c:v>32000</c:v>
              </c:pt>
              <c:pt idx="21">
                <c:v>29000</c:v>
              </c:pt>
              <c:pt idx="22">
                <c:v>41000</c:v>
              </c:pt>
              <c:pt idx="23">
                <c:v>30000</c:v>
              </c:pt>
              <c:pt idx="24">
                <c:v>35000</c:v>
              </c:pt>
              <c:pt idx="25">
                <c:v>28000</c:v>
              </c:pt>
              <c:pt idx="26">
                <c:v>31000</c:v>
              </c:pt>
              <c:pt idx="27">
                <c:v>31000</c:v>
              </c:pt>
              <c:pt idx="28">
                <c:v>42000</c:v>
              </c:pt>
              <c:pt idx="29">
                <c:v>33000</c:v>
              </c:pt>
              <c:pt idx="30">
                <c:v>37000</c:v>
              </c:pt>
              <c:pt idx="31">
                <c:v>29000</c:v>
              </c:pt>
              <c:pt idx="32">
                <c:v>40000</c:v>
              </c:pt>
              <c:pt idx="33">
                <c:v>32000</c:v>
              </c:pt>
              <c:pt idx="34">
                <c:v>36000</c:v>
              </c:pt>
              <c:pt idx="35">
                <c:v>27000</c:v>
              </c:pt>
              <c:pt idx="36">
                <c:v>31000</c:v>
              </c:pt>
              <c:pt idx="37">
                <c:v>30000</c:v>
              </c:pt>
              <c:pt idx="38">
                <c:v>39000</c:v>
              </c:pt>
              <c:pt idx="39">
                <c:v>31000</c:v>
              </c:pt>
              <c:pt idx="40">
                <c:v>25000</c:v>
              </c:pt>
              <c:pt idx="41">
                <c:v>30000</c:v>
              </c:pt>
              <c:pt idx="42">
                <c:v>28000</c:v>
              </c:pt>
              <c:pt idx="43">
                <c:v>32000</c:v>
              </c:pt>
              <c:pt idx="44">
                <c:v>35000</c:v>
              </c:pt>
              <c:pt idx="45">
                <c:v>29000</c:v>
              </c:pt>
              <c:pt idx="46">
                <c:v>30000</c:v>
              </c:pt>
              <c:pt idx="47">
                <c:v>31000</c:v>
              </c:pt>
              <c:pt idx="48">
                <c:v>34000</c:v>
              </c:pt>
              <c:pt idx="49">
                <c:v>27000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DBD-4A77-9228-8E047C508BB2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1010905392"/>
        <c:axId val="1010906832"/>
      </c:scatterChart>
      <c:valAx>
        <c:axId val="1010905392"/>
        <c:scaling>
          <c:orientation val="minMax"/>
          <c:max val="26"/>
          <c:min val="1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906832"/>
        <c:crosses val="autoZero"/>
        <c:crossBetween val="midCat"/>
      </c:valAx>
      <c:valAx>
        <c:axId val="1010906832"/>
        <c:scaling>
          <c:orientation val="minMax"/>
          <c:max val="48000"/>
          <c:min val="2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90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AA1FDE88-83CA-450A-9D52-5F64B7D870F7}">
          <cx:tx>
            <cx:txData>
              <cx:f>_xlchart.v1.0</cx:f>
              <cx:v>Salary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609599</xdr:colOff>
      <xdr:row>7</xdr:row>
      <xdr:rowOff>13854</xdr:rowOff>
    </xdr:from>
    <xdr:to>
      <xdr:col>16</xdr:col>
      <xdr:colOff>13853</xdr:colOff>
      <xdr:row>22</xdr:row>
      <xdr:rowOff>2770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E2986A-F470-82A5-3DCD-C53B678F6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598714</xdr:colOff>
      <xdr:row>1</xdr:row>
      <xdr:rowOff>182036</xdr:rowOff>
    </xdr:from>
    <xdr:to>
      <xdr:col>28</xdr:col>
      <xdr:colOff>108853</xdr:colOff>
      <xdr:row>21</xdr:row>
      <xdr:rowOff>32657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BECF347-119B-E3C7-279D-79F259A31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14514</xdr:colOff>
      <xdr:row>2</xdr:row>
      <xdr:rowOff>10886</xdr:rowOff>
    </xdr:from>
    <xdr:to>
      <xdr:col>8</xdr:col>
      <xdr:colOff>1</xdr:colOff>
      <xdr:row>20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EDFC00E-7024-3E5B-6260-B43AF53541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4114" y="513806"/>
              <a:ext cx="4892767" cy="34638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15BDE-5C28-49E3-B77B-DA71D0FC85D3}">
  <dimension ref="A1:F55"/>
  <sheetViews>
    <sheetView topLeftCell="A23" zoomScale="90" zoomScaleNormal="90" workbookViewId="0">
      <selection activeCell="L38" sqref="L38"/>
    </sheetView>
  </sheetViews>
  <sheetFormatPr defaultRowHeight="14.4"/>
  <cols>
    <col min="1" max="1" width="7.44140625" customWidth="1"/>
    <col min="2" max="2" width="16.77734375" customWidth="1"/>
    <col min="3" max="3" width="6.109375" customWidth="1"/>
    <col min="4" max="4" width="12.44140625" customWidth="1"/>
    <col min="5" max="5" width="14.21875" customWidth="1"/>
    <col min="6" max="6" width="8.88671875" customWidth="1"/>
  </cols>
  <sheetData>
    <row r="1" spans="1:6">
      <c r="A1" t="s">
        <v>40</v>
      </c>
      <c r="B1" t="s">
        <v>41</v>
      </c>
      <c r="C1" t="s">
        <v>0</v>
      </c>
      <c r="D1" t="s">
        <v>1</v>
      </c>
      <c r="E1" s="9" t="s">
        <v>42</v>
      </c>
      <c r="F1" t="s">
        <v>2</v>
      </c>
    </row>
    <row r="2" spans="1:6">
      <c r="A2">
        <v>101</v>
      </c>
      <c r="B2" t="s">
        <v>43</v>
      </c>
      <c r="C2">
        <v>21</v>
      </c>
      <c r="D2" t="s">
        <v>3</v>
      </c>
      <c r="E2" s="9">
        <v>46143</v>
      </c>
      <c r="F2">
        <v>25000</v>
      </c>
    </row>
    <row r="3" spans="1:6">
      <c r="A3">
        <v>102</v>
      </c>
      <c r="B3" t="s">
        <v>44</v>
      </c>
      <c r="C3">
        <v>22</v>
      </c>
      <c r="D3" t="s">
        <v>4</v>
      </c>
      <c r="E3" s="9">
        <v>46144</v>
      </c>
      <c r="F3">
        <v>30000</v>
      </c>
    </row>
    <row r="4" spans="1:6">
      <c r="A4">
        <v>103</v>
      </c>
      <c r="B4" t="s">
        <v>45</v>
      </c>
      <c r="C4">
        <v>20</v>
      </c>
      <c r="D4" t="s">
        <v>3</v>
      </c>
      <c r="E4" s="9">
        <v>46145</v>
      </c>
      <c r="F4">
        <v>28000</v>
      </c>
    </row>
    <row r="5" spans="1:6">
      <c r="A5">
        <v>104</v>
      </c>
      <c r="B5" t="s">
        <v>46</v>
      </c>
      <c r="C5">
        <v>22</v>
      </c>
      <c r="D5" t="s">
        <v>5</v>
      </c>
      <c r="E5" s="9">
        <v>46146</v>
      </c>
      <c r="F5">
        <v>32000</v>
      </c>
    </row>
    <row r="6" spans="1:6">
      <c r="A6">
        <v>105</v>
      </c>
      <c r="B6" t="s">
        <v>47</v>
      </c>
      <c r="C6">
        <v>23</v>
      </c>
      <c r="D6" t="s">
        <v>4</v>
      </c>
      <c r="E6" s="9">
        <v>46147</v>
      </c>
      <c r="F6">
        <v>35000</v>
      </c>
    </row>
    <row r="7" spans="1:6">
      <c r="A7">
        <v>106</v>
      </c>
      <c r="B7" t="s">
        <v>48</v>
      </c>
      <c r="C7">
        <v>21</v>
      </c>
      <c r="D7" t="s">
        <v>3</v>
      </c>
      <c r="E7" s="9">
        <v>46147</v>
      </c>
      <c r="F7">
        <v>29000</v>
      </c>
    </row>
    <row r="8" spans="1:6">
      <c r="A8">
        <v>107</v>
      </c>
      <c r="B8" t="s">
        <v>49</v>
      </c>
      <c r="C8">
        <v>22</v>
      </c>
      <c r="D8" t="s">
        <v>3</v>
      </c>
      <c r="E8" s="9">
        <v>46150</v>
      </c>
      <c r="F8">
        <v>30000</v>
      </c>
    </row>
    <row r="9" spans="1:6">
      <c r="A9">
        <v>108</v>
      </c>
      <c r="B9" t="s">
        <v>50</v>
      </c>
      <c r="C9">
        <v>22</v>
      </c>
      <c r="D9" t="s">
        <v>4</v>
      </c>
      <c r="E9" s="9">
        <v>46151</v>
      </c>
      <c r="F9">
        <v>31000</v>
      </c>
    </row>
    <row r="10" spans="1:6">
      <c r="A10">
        <v>109</v>
      </c>
      <c r="B10" t="s">
        <v>51</v>
      </c>
      <c r="C10">
        <v>21</v>
      </c>
      <c r="D10" t="s">
        <v>5</v>
      </c>
      <c r="E10" s="9">
        <v>46152</v>
      </c>
      <c r="F10" s="3">
        <v>31000</v>
      </c>
    </row>
    <row r="11" spans="1:6">
      <c r="A11">
        <v>110</v>
      </c>
      <c r="B11" t="s">
        <v>52</v>
      </c>
      <c r="C11">
        <v>20</v>
      </c>
      <c r="D11" t="s">
        <v>3</v>
      </c>
      <c r="E11" s="9">
        <v>46153</v>
      </c>
      <c r="F11">
        <v>27000</v>
      </c>
    </row>
    <row r="12" spans="1:6">
      <c r="A12">
        <v>111</v>
      </c>
      <c r="B12" t="s">
        <v>53</v>
      </c>
      <c r="C12">
        <v>24</v>
      </c>
      <c r="D12" t="s">
        <v>4</v>
      </c>
      <c r="E12" s="9">
        <v>46154</v>
      </c>
      <c r="F12">
        <v>40000</v>
      </c>
    </row>
    <row r="13" spans="1:6">
      <c r="A13">
        <v>112</v>
      </c>
      <c r="B13" t="s">
        <v>54</v>
      </c>
      <c r="C13">
        <v>23</v>
      </c>
      <c r="D13" t="s">
        <v>5</v>
      </c>
      <c r="E13" s="9">
        <v>46155</v>
      </c>
      <c r="F13">
        <v>33000</v>
      </c>
    </row>
    <row r="14" spans="1:6">
      <c r="A14">
        <v>113</v>
      </c>
      <c r="B14" t="s">
        <v>55</v>
      </c>
      <c r="C14">
        <v>22</v>
      </c>
      <c r="D14" t="s">
        <v>3</v>
      </c>
      <c r="E14" s="9">
        <v>46156</v>
      </c>
      <c r="F14">
        <v>36000</v>
      </c>
    </row>
    <row r="15" spans="1:6">
      <c r="A15">
        <v>114</v>
      </c>
      <c r="B15" t="s">
        <v>56</v>
      </c>
      <c r="C15">
        <v>22</v>
      </c>
      <c r="D15" t="s">
        <v>4</v>
      </c>
      <c r="E15" s="9">
        <v>46157</v>
      </c>
      <c r="F15">
        <v>28000</v>
      </c>
    </row>
    <row r="16" spans="1:6">
      <c r="A16">
        <v>115</v>
      </c>
      <c r="B16" t="s">
        <v>57</v>
      </c>
      <c r="C16">
        <v>25</v>
      </c>
      <c r="D16" t="s">
        <v>3</v>
      </c>
      <c r="E16" s="9">
        <v>46158</v>
      </c>
      <c r="F16">
        <v>45000</v>
      </c>
    </row>
    <row r="17" spans="1:6">
      <c r="A17">
        <v>116</v>
      </c>
      <c r="B17" t="s">
        <v>58</v>
      </c>
      <c r="C17">
        <v>21</v>
      </c>
      <c r="D17" t="s">
        <v>5</v>
      </c>
      <c r="E17" s="9">
        <v>46159</v>
      </c>
      <c r="F17">
        <v>29000</v>
      </c>
    </row>
    <row r="18" spans="1:6">
      <c r="A18">
        <v>117</v>
      </c>
      <c r="B18" t="s">
        <v>59</v>
      </c>
      <c r="C18">
        <v>23</v>
      </c>
      <c r="D18" t="s">
        <v>4</v>
      </c>
      <c r="E18" s="9">
        <v>46160</v>
      </c>
      <c r="F18">
        <v>38000</v>
      </c>
    </row>
    <row r="19" spans="1:6">
      <c r="A19">
        <v>118</v>
      </c>
      <c r="B19" t="s">
        <v>60</v>
      </c>
      <c r="C19">
        <v>22</v>
      </c>
      <c r="D19" t="s">
        <v>3</v>
      </c>
      <c r="E19" s="9">
        <v>46161</v>
      </c>
      <c r="F19">
        <v>31000</v>
      </c>
    </row>
    <row r="20" spans="1:6">
      <c r="A20">
        <v>119</v>
      </c>
      <c r="B20" t="s">
        <v>61</v>
      </c>
      <c r="C20">
        <v>22</v>
      </c>
      <c r="D20" t="s">
        <v>5</v>
      </c>
      <c r="E20" s="9">
        <v>46162</v>
      </c>
      <c r="F20">
        <v>34000</v>
      </c>
    </row>
    <row r="21" spans="1:6">
      <c r="A21">
        <v>120</v>
      </c>
      <c r="B21" t="s">
        <v>62</v>
      </c>
      <c r="C21">
        <v>24</v>
      </c>
      <c r="D21" t="s">
        <v>4</v>
      </c>
      <c r="E21" s="9">
        <v>46163</v>
      </c>
      <c r="F21">
        <v>36000</v>
      </c>
    </row>
    <row r="22" spans="1:6">
      <c r="A22">
        <v>121</v>
      </c>
      <c r="B22" t="s">
        <v>63</v>
      </c>
      <c r="C22">
        <v>23</v>
      </c>
      <c r="D22" t="s">
        <v>3</v>
      </c>
      <c r="E22" s="9">
        <v>46164</v>
      </c>
      <c r="F22">
        <v>32000</v>
      </c>
    </row>
    <row r="23" spans="1:6">
      <c r="A23">
        <v>122</v>
      </c>
      <c r="B23" t="s">
        <v>64</v>
      </c>
      <c r="C23">
        <v>20</v>
      </c>
      <c r="D23" t="s">
        <v>4</v>
      </c>
      <c r="E23" s="9">
        <v>46165</v>
      </c>
      <c r="F23">
        <v>29000</v>
      </c>
    </row>
    <row r="24" spans="1:6">
      <c r="A24">
        <v>123</v>
      </c>
      <c r="B24" t="s">
        <v>65</v>
      </c>
      <c r="C24">
        <v>22</v>
      </c>
      <c r="D24" t="s">
        <v>3</v>
      </c>
      <c r="E24" s="9">
        <v>46166</v>
      </c>
      <c r="F24">
        <v>41000</v>
      </c>
    </row>
    <row r="25" spans="1:6">
      <c r="A25">
        <v>124</v>
      </c>
      <c r="B25" t="s">
        <v>66</v>
      </c>
      <c r="C25">
        <v>22</v>
      </c>
      <c r="D25" t="s">
        <v>5</v>
      </c>
      <c r="E25" s="9">
        <v>46167</v>
      </c>
      <c r="F25">
        <v>30000</v>
      </c>
    </row>
    <row r="26" spans="1:6">
      <c r="A26">
        <v>125</v>
      </c>
      <c r="B26" t="s">
        <v>67</v>
      </c>
      <c r="C26">
        <v>24</v>
      </c>
      <c r="D26" t="s">
        <v>4</v>
      </c>
      <c r="E26" s="9">
        <v>46168</v>
      </c>
      <c r="F26">
        <v>35000</v>
      </c>
    </row>
    <row r="27" spans="1:6">
      <c r="A27">
        <v>126</v>
      </c>
      <c r="B27" t="s">
        <v>68</v>
      </c>
      <c r="C27">
        <v>21</v>
      </c>
      <c r="D27" t="s">
        <v>3</v>
      </c>
      <c r="E27" s="9">
        <v>46169</v>
      </c>
      <c r="F27">
        <v>28000</v>
      </c>
    </row>
    <row r="28" spans="1:6">
      <c r="A28">
        <v>127</v>
      </c>
      <c r="B28" t="s">
        <v>69</v>
      </c>
      <c r="C28">
        <v>23</v>
      </c>
      <c r="D28" t="s">
        <v>3</v>
      </c>
      <c r="E28" s="9">
        <v>46170</v>
      </c>
      <c r="F28">
        <v>31000</v>
      </c>
    </row>
    <row r="29" spans="1:6">
      <c r="A29">
        <v>128</v>
      </c>
      <c r="B29" t="s">
        <v>70</v>
      </c>
      <c r="C29">
        <v>20</v>
      </c>
      <c r="D29" t="s">
        <v>4</v>
      </c>
      <c r="E29" s="9">
        <v>46171</v>
      </c>
      <c r="F29">
        <v>31000</v>
      </c>
    </row>
    <row r="30" spans="1:6">
      <c r="A30">
        <v>129</v>
      </c>
      <c r="B30" t="s">
        <v>71</v>
      </c>
      <c r="C30">
        <v>25</v>
      </c>
      <c r="D30" t="s">
        <v>5</v>
      </c>
      <c r="E30" s="9">
        <v>46172</v>
      </c>
      <c r="F30">
        <v>42000</v>
      </c>
    </row>
    <row r="31" spans="1:6">
      <c r="A31">
        <v>130</v>
      </c>
      <c r="B31" t="s">
        <v>72</v>
      </c>
      <c r="C31">
        <v>22</v>
      </c>
      <c r="D31" t="s">
        <v>3</v>
      </c>
      <c r="E31" s="9">
        <v>46173</v>
      </c>
      <c r="F31">
        <v>33000</v>
      </c>
    </row>
    <row r="32" spans="1:6">
      <c r="A32">
        <v>131</v>
      </c>
      <c r="B32" t="s">
        <v>73</v>
      </c>
      <c r="C32">
        <v>22</v>
      </c>
      <c r="D32" t="s">
        <v>4</v>
      </c>
      <c r="E32" s="9">
        <v>46174</v>
      </c>
      <c r="F32">
        <v>37000</v>
      </c>
    </row>
    <row r="33" spans="1:6">
      <c r="A33">
        <v>132</v>
      </c>
      <c r="B33" t="s">
        <v>74</v>
      </c>
      <c r="C33">
        <v>23</v>
      </c>
      <c r="D33" t="s">
        <v>5</v>
      </c>
      <c r="E33" s="9">
        <v>46175</v>
      </c>
      <c r="F33">
        <v>29000</v>
      </c>
    </row>
    <row r="34" spans="1:6">
      <c r="A34">
        <v>133</v>
      </c>
      <c r="B34" t="s">
        <v>75</v>
      </c>
      <c r="C34">
        <v>24</v>
      </c>
      <c r="D34" t="s">
        <v>3</v>
      </c>
      <c r="E34" s="9">
        <v>46176</v>
      </c>
      <c r="F34">
        <v>40000</v>
      </c>
    </row>
    <row r="35" spans="1:6">
      <c r="A35">
        <v>134</v>
      </c>
      <c r="B35" t="s">
        <v>76</v>
      </c>
      <c r="C35">
        <v>21</v>
      </c>
      <c r="D35" t="s">
        <v>4</v>
      </c>
      <c r="E35" s="9">
        <v>46177</v>
      </c>
      <c r="F35">
        <v>32000</v>
      </c>
    </row>
    <row r="36" spans="1:6">
      <c r="A36">
        <v>135</v>
      </c>
      <c r="B36" t="s">
        <v>77</v>
      </c>
      <c r="C36">
        <v>23</v>
      </c>
      <c r="D36" t="s">
        <v>3</v>
      </c>
      <c r="E36" s="9">
        <v>46178</v>
      </c>
      <c r="F36">
        <v>36000</v>
      </c>
    </row>
    <row r="37" spans="1:6">
      <c r="A37">
        <v>136</v>
      </c>
      <c r="B37" t="s">
        <v>78</v>
      </c>
      <c r="C37">
        <v>20</v>
      </c>
      <c r="D37" t="s">
        <v>5</v>
      </c>
      <c r="E37" s="9">
        <v>46179</v>
      </c>
      <c r="F37">
        <v>27000</v>
      </c>
    </row>
    <row r="38" spans="1:6">
      <c r="A38">
        <v>137</v>
      </c>
      <c r="B38" t="s">
        <v>79</v>
      </c>
      <c r="C38">
        <v>22</v>
      </c>
      <c r="D38" t="s">
        <v>4</v>
      </c>
      <c r="E38" s="9">
        <v>46180</v>
      </c>
      <c r="F38" s="3">
        <v>31000</v>
      </c>
    </row>
    <row r="39" spans="1:6">
      <c r="A39">
        <v>138</v>
      </c>
      <c r="B39" t="s">
        <v>80</v>
      </c>
      <c r="C39">
        <v>22</v>
      </c>
      <c r="D39" t="s">
        <v>3</v>
      </c>
      <c r="E39" s="9">
        <v>46181</v>
      </c>
      <c r="F39">
        <v>30000</v>
      </c>
    </row>
    <row r="40" spans="1:6">
      <c r="A40">
        <v>139</v>
      </c>
      <c r="B40" t="s">
        <v>81</v>
      </c>
      <c r="C40">
        <v>24</v>
      </c>
      <c r="D40" t="s">
        <v>4</v>
      </c>
      <c r="E40" s="9">
        <v>46182</v>
      </c>
      <c r="F40">
        <v>39000</v>
      </c>
    </row>
    <row r="41" spans="1:6">
      <c r="A41">
        <v>140</v>
      </c>
      <c r="B41" t="s">
        <v>82</v>
      </c>
      <c r="C41">
        <v>21</v>
      </c>
      <c r="D41" t="s">
        <v>5</v>
      </c>
      <c r="E41" s="9">
        <v>46183</v>
      </c>
      <c r="F41">
        <v>31000</v>
      </c>
    </row>
    <row r="42" spans="1:6">
      <c r="A42">
        <v>141</v>
      </c>
      <c r="B42" t="s">
        <v>43</v>
      </c>
      <c r="C42">
        <v>21</v>
      </c>
      <c r="D42" t="s">
        <v>3</v>
      </c>
      <c r="E42" s="9">
        <v>46143</v>
      </c>
      <c r="F42">
        <v>25000</v>
      </c>
    </row>
    <row r="43" spans="1:6">
      <c r="A43">
        <v>142</v>
      </c>
      <c r="B43" t="s">
        <v>44</v>
      </c>
      <c r="C43">
        <v>22</v>
      </c>
      <c r="D43" t="s">
        <v>4</v>
      </c>
      <c r="E43" s="9">
        <v>46144</v>
      </c>
      <c r="F43">
        <v>30000</v>
      </c>
    </row>
    <row r="44" spans="1:6">
      <c r="A44">
        <v>143</v>
      </c>
      <c r="B44" t="s">
        <v>45</v>
      </c>
      <c r="C44">
        <v>20</v>
      </c>
      <c r="D44" t="s">
        <v>3</v>
      </c>
      <c r="E44" s="9">
        <v>46145</v>
      </c>
      <c r="F44">
        <v>28000</v>
      </c>
    </row>
    <row r="45" spans="1:6">
      <c r="A45">
        <v>144</v>
      </c>
      <c r="B45" t="s">
        <v>46</v>
      </c>
      <c r="C45">
        <v>19</v>
      </c>
      <c r="D45" t="s">
        <v>5</v>
      </c>
      <c r="E45" s="9">
        <v>46146</v>
      </c>
      <c r="F45">
        <v>32000</v>
      </c>
    </row>
    <row r="46" spans="1:6">
      <c r="A46">
        <v>145</v>
      </c>
      <c r="B46" t="s">
        <v>47</v>
      </c>
      <c r="C46">
        <v>23</v>
      </c>
      <c r="D46" t="s">
        <v>4</v>
      </c>
      <c r="E46" s="9">
        <v>46147</v>
      </c>
      <c r="F46">
        <v>35000</v>
      </c>
    </row>
    <row r="47" spans="1:6">
      <c r="A47">
        <v>146</v>
      </c>
      <c r="B47" t="s">
        <v>48</v>
      </c>
      <c r="C47">
        <v>21</v>
      </c>
      <c r="D47" t="s">
        <v>3</v>
      </c>
      <c r="E47" s="9">
        <v>46153</v>
      </c>
      <c r="F47">
        <v>29000</v>
      </c>
    </row>
    <row r="48" spans="1:6">
      <c r="A48">
        <v>147</v>
      </c>
      <c r="B48" t="s">
        <v>49</v>
      </c>
      <c r="C48">
        <v>22</v>
      </c>
      <c r="D48" t="s">
        <v>3</v>
      </c>
      <c r="E48" s="9">
        <v>46150</v>
      </c>
      <c r="F48">
        <v>30000</v>
      </c>
    </row>
    <row r="49" spans="1:6">
      <c r="A49">
        <v>148</v>
      </c>
      <c r="B49" t="s">
        <v>50</v>
      </c>
      <c r="C49">
        <v>22</v>
      </c>
      <c r="D49" t="s">
        <v>4</v>
      </c>
      <c r="E49" s="9">
        <v>46151</v>
      </c>
      <c r="F49">
        <v>31000</v>
      </c>
    </row>
    <row r="50" spans="1:6">
      <c r="A50">
        <v>149</v>
      </c>
      <c r="B50" t="s">
        <v>51</v>
      </c>
      <c r="C50">
        <v>21</v>
      </c>
      <c r="D50" t="s">
        <v>5</v>
      </c>
      <c r="E50" s="9">
        <v>46152</v>
      </c>
      <c r="F50">
        <v>34000</v>
      </c>
    </row>
    <row r="51" spans="1:6">
      <c r="A51">
        <v>150</v>
      </c>
      <c r="B51" t="s">
        <v>52</v>
      </c>
      <c r="C51">
        <v>20</v>
      </c>
      <c r="D51" t="s">
        <v>3</v>
      </c>
      <c r="E51" s="9">
        <v>46153</v>
      </c>
      <c r="F51">
        <v>27000</v>
      </c>
    </row>
    <row r="53" spans="1:6">
      <c r="F53" s="3"/>
    </row>
    <row r="55" spans="1:6">
      <c r="F55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A92A3-92B5-4A38-A5A5-6C623B15029A}">
  <dimension ref="A1:C6"/>
  <sheetViews>
    <sheetView zoomScale="90" zoomScaleNormal="90" workbookViewId="0">
      <selection activeCell="C12" sqref="C12"/>
    </sheetView>
  </sheetViews>
  <sheetFormatPr defaultRowHeight="14.4"/>
  <sheetData>
    <row r="1" spans="1:3">
      <c r="A1" t="s">
        <v>6</v>
      </c>
      <c r="B1" t="s">
        <v>0</v>
      </c>
      <c r="C1" t="s">
        <v>2</v>
      </c>
    </row>
    <row r="2" spans="1:3">
      <c r="A2" t="s">
        <v>7</v>
      </c>
      <c r="B2">
        <v>50</v>
      </c>
      <c r="C2">
        <v>50</v>
      </c>
    </row>
    <row r="3" spans="1:3">
      <c r="A3" t="s">
        <v>8</v>
      </c>
      <c r="B3">
        <v>21.94</v>
      </c>
      <c r="C3">
        <v>32260</v>
      </c>
    </row>
    <row r="4" spans="1:3">
      <c r="A4" t="s">
        <v>9</v>
      </c>
      <c r="B4">
        <v>22</v>
      </c>
      <c r="C4">
        <v>31000</v>
      </c>
    </row>
    <row r="5" spans="1:3">
      <c r="A5" t="s">
        <v>10</v>
      </c>
      <c r="B5">
        <v>19</v>
      </c>
      <c r="C5">
        <v>25000</v>
      </c>
    </row>
    <row r="6" spans="1:3">
      <c r="A6" t="s">
        <v>11</v>
      </c>
      <c r="B6">
        <v>25</v>
      </c>
      <c r="C6">
        <v>45000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C6EC-7994-4719-8E7D-E42E27297325}">
  <dimension ref="A1:D4"/>
  <sheetViews>
    <sheetView tabSelected="1" zoomScale="90" zoomScaleNormal="90" workbookViewId="0">
      <selection activeCell="D4" sqref="D4"/>
    </sheetView>
  </sheetViews>
  <sheetFormatPr defaultRowHeight="14.4"/>
  <cols>
    <col min="1" max="1" width="9.5546875" customWidth="1"/>
    <col min="2" max="2" width="9.44140625" customWidth="1"/>
    <col min="3" max="3" width="11.5546875" bestFit="1" customWidth="1"/>
  </cols>
  <sheetData>
    <row r="1" spans="1:4" ht="28.8">
      <c r="A1" s="1" t="s">
        <v>1</v>
      </c>
      <c r="B1" s="5" t="s">
        <v>12</v>
      </c>
      <c r="C1" s="5" t="s">
        <v>13</v>
      </c>
      <c r="D1" s="5" t="s">
        <v>14</v>
      </c>
    </row>
    <row r="2" spans="1:4">
      <c r="A2" s="2" t="s">
        <v>3</v>
      </c>
      <c r="B2" s="4">
        <f>COUNTIF('Cleaned Data'!D2:D51,A2)</f>
        <v>21</v>
      </c>
      <c r="C2" s="6">
        <f>AVERAGEIF('Cleaned Data'!D2:D51,A2,'Cleaned Data'!F2:F51)</f>
        <v>31476.190476190477</v>
      </c>
      <c r="D2" s="4">
        <v>30000</v>
      </c>
    </row>
    <row r="3" spans="1:4">
      <c r="A3" s="2" t="s">
        <v>4</v>
      </c>
      <c r="B3" s="4">
        <f>COUNTIF('Cleaned Data'!D2:D51,A3)</f>
        <v>17</v>
      </c>
      <c r="C3" s="6">
        <f>AVERAGEIF('Cleaned Data'!D2:D51,A3,'Cleaned Data'!F2:F51)</f>
        <v>33411.76470588235</v>
      </c>
      <c r="D3" s="4">
        <v>32000</v>
      </c>
    </row>
    <row r="4" spans="1:4">
      <c r="A4" s="2" t="s">
        <v>5</v>
      </c>
      <c r="B4" s="4">
        <f>COUNTIF('Cleaned Data'!D2:D51,A4)</f>
        <v>12</v>
      </c>
      <c r="C4" s="6">
        <f>AVERAGEIF('Cleaned Data'!D2:D51,A4,'Cleaned Data'!F2:F51)</f>
        <v>32000</v>
      </c>
      <c r="D4" s="10">
        <v>31500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56376-DCF9-47BC-9C1C-E0A45CB25D03}">
  <dimension ref="A1:B6"/>
  <sheetViews>
    <sheetView zoomScale="90" zoomScaleNormal="90" workbookViewId="0">
      <selection activeCell="E16" sqref="E16"/>
    </sheetView>
  </sheetViews>
  <sheetFormatPr defaultRowHeight="14.4"/>
  <cols>
    <col min="1" max="1" width="13" customWidth="1"/>
  </cols>
  <sheetData>
    <row r="1" spans="1:2">
      <c r="A1" s="1" t="s">
        <v>15</v>
      </c>
      <c r="B1" s="5" t="s">
        <v>16</v>
      </c>
    </row>
    <row r="2" spans="1:2">
      <c r="A2" s="2" t="s">
        <v>17</v>
      </c>
      <c r="B2" s="4">
        <v>29000</v>
      </c>
    </row>
    <row r="3" spans="1:2">
      <c r="A3" s="2" t="s">
        <v>18</v>
      </c>
      <c r="B3" s="4">
        <v>35000</v>
      </c>
    </row>
    <row r="4" spans="1:2">
      <c r="A4" s="2" t="s">
        <v>19</v>
      </c>
      <c r="B4" s="4">
        <f>B3-B2</f>
        <v>6000</v>
      </c>
    </row>
    <row r="5" spans="1:2" ht="15" customHeight="1">
      <c r="A5" s="2" t="s">
        <v>20</v>
      </c>
      <c r="B5" s="4">
        <f>B2-(1.5*B4)</f>
        <v>20000</v>
      </c>
    </row>
    <row r="6" spans="1:2" ht="15" customHeight="1">
      <c r="A6" s="2" t="s">
        <v>21</v>
      </c>
      <c r="B6" s="4">
        <f>B3+(1.5*B4)</f>
        <v>44000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BC4F3-899D-403C-ABD9-7AE6970A673E}">
  <dimension ref="E1:X7"/>
  <sheetViews>
    <sheetView zoomScale="70" zoomScaleNormal="70" workbookViewId="0">
      <selection activeCell="L30" sqref="L30"/>
    </sheetView>
  </sheetViews>
  <sheetFormatPr defaultRowHeight="14.4"/>
  <cols>
    <col min="5" max="5" width="18.21875" customWidth="1"/>
    <col min="10" max="10" width="10.44140625" customWidth="1"/>
    <col min="11" max="11" width="10.5546875" customWidth="1"/>
    <col min="12" max="12" width="14.109375" customWidth="1"/>
    <col min="13" max="13" width="24.109375" customWidth="1"/>
    <col min="24" max="24" width="21.109375" customWidth="1"/>
  </cols>
  <sheetData>
    <row r="1" spans="5:24" ht="25.2">
      <c r="E1" s="8" t="s">
        <v>37</v>
      </c>
      <c r="M1" s="8" t="s">
        <v>38</v>
      </c>
      <c r="X1" s="8" t="s">
        <v>39</v>
      </c>
    </row>
    <row r="3" spans="5:24">
      <c r="J3" s="1" t="s">
        <v>22</v>
      </c>
      <c r="K3" s="5" t="s">
        <v>23</v>
      </c>
    </row>
    <row r="4" spans="5:24" ht="28.8">
      <c r="J4" s="2" t="s">
        <v>1</v>
      </c>
      <c r="K4" s="4" t="s">
        <v>13</v>
      </c>
    </row>
    <row r="5" spans="5:24">
      <c r="J5" s="2" t="s">
        <v>3</v>
      </c>
      <c r="K5" s="4">
        <v>31476</v>
      </c>
    </row>
    <row r="6" spans="5:24">
      <c r="J6" s="2" t="s">
        <v>4</v>
      </c>
      <c r="K6" s="4">
        <v>33412</v>
      </c>
    </row>
    <row r="7" spans="5:24">
      <c r="J7" s="2" t="s">
        <v>5</v>
      </c>
      <c r="K7" s="4">
        <v>32000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2FBF1-F7CD-4A70-83DA-F9A3A7D1AACF}">
  <dimension ref="A1:D8"/>
  <sheetViews>
    <sheetView workbookViewId="0">
      <selection activeCell="A15" sqref="A15"/>
    </sheetView>
  </sheetViews>
  <sheetFormatPr defaultRowHeight="14.4"/>
  <cols>
    <col min="1" max="1" width="50.88671875" customWidth="1"/>
    <col min="2" max="2" width="147.5546875" customWidth="1"/>
  </cols>
  <sheetData>
    <row r="1" spans="1:4" ht="17.399999999999999">
      <c r="A1" s="7" t="s">
        <v>24</v>
      </c>
      <c r="B1" s="7"/>
      <c r="C1" s="7"/>
      <c r="D1" s="7"/>
    </row>
    <row r="3" spans="1:4">
      <c r="A3" t="s">
        <v>25</v>
      </c>
      <c r="B3" t="s">
        <v>31</v>
      </c>
    </row>
    <row r="4" spans="1:4">
      <c r="A4" t="s">
        <v>26</v>
      </c>
      <c r="B4" t="s">
        <v>32</v>
      </c>
    </row>
    <row r="5" spans="1:4">
      <c r="A5" t="s">
        <v>27</v>
      </c>
      <c r="B5" t="s">
        <v>33</v>
      </c>
    </row>
    <row r="6" spans="1:4">
      <c r="A6" t="s">
        <v>28</v>
      </c>
      <c r="B6" t="s">
        <v>34</v>
      </c>
    </row>
    <row r="7" spans="1:4">
      <c r="A7" t="s">
        <v>29</v>
      </c>
      <c r="B7" t="s">
        <v>35</v>
      </c>
    </row>
    <row r="8" spans="1:4">
      <c r="A8" t="s">
        <v>30</v>
      </c>
      <c r="B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 Data</vt:lpstr>
      <vt:lpstr>EDA Statistics</vt:lpstr>
      <vt:lpstr>City Analysis</vt:lpstr>
      <vt:lpstr>Outlier Analysis</vt:lpstr>
      <vt:lpstr>Charts &amp; Insights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Maurya</dc:creator>
  <cp:lastModifiedBy>Abhinav Maurya</cp:lastModifiedBy>
  <dcterms:created xsi:type="dcterms:W3CDTF">2026-09-02T15:26:29Z</dcterms:created>
  <dcterms:modified xsi:type="dcterms:W3CDTF">2026-09-11T19:07:30Z</dcterms:modified>
</cp:coreProperties>
</file>