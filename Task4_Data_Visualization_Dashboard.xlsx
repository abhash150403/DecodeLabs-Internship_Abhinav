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a0e8a447025ce/Documents/"/>
    </mc:Choice>
  </mc:AlternateContent>
  <xr:revisionPtr revIDLastSave="0" documentId="8_{D3F7271D-B5B1-4D44-818C-63EB283DF707}" xr6:coauthVersionLast="47" xr6:coauthVersionMax="47" xr10:uidLastSave="{00000000-0000-0000-0000-000000000000}"/>
  <bookViews>
    <workbookView xWindow="-108" yWindow="-108" windowWidth="23256" windowHeight="12456" activeTab="3" xr2:uid="{9A99E770-D595-46A4-8358-F62C97DAB05E}"/>
  </bookViews>
  <sheets>
    <sheet name="Cleaned Data" sheetId="2" r:id="rId1"/>
    <sheet name="City Analysis" sheetId="6" r:id="rId2"/>
    <sheet name="Outlier Analysis" sheetId="5" r:id="rId3"/>
    <sheet name="Dashboard" sheetId="1" r:id="rId4"/>
  </sheets>
  <externalReferences>
    <externalReference r:id="rId5"/>
  </externalReferences>
  <definedNames>
    <definedName name="_xlchart.v1.0" hidden="1">'Cleaned Data'!$F$1</definedName>
    <definedName name="_xlchart.v1.1" hidden="1">'Cleaned Data'!$F$2:$F$51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6" l="1"/>
  <c r="B4" i="6"/>
  <c r="C3" i="6"/>
  <c r="B3" i="6"/>
  <c r="C2" i="6"/>
  <c r="B2" i="6"/>
  <c r="B5" i="5" l="1"/>
  <c r="B4" i="5"/>
  <c r="B6" i="5" s="1"/>
</calcChain>
</file>

<file path=xl/sharedStrings.xml><?xml version="1.0" encoding="utf-8"?>
<sst xmlns="http://schemas.openxmlformats.org/spreadsheetml/2006/main" count="126" uniqueCount="64">
  <si>
    <t>ID</t>
  </si>
  <si>
    <t>Name</t>
  </si>
  <si>
    <t>Age</t>
  </si>
  <si>
    <t>City</t>
  </si>
  <si>
    <t>Joining Date</t>
  </si>
  <si>
    <t>Salary</t>
  </si>
  <si>
    <t>Rahul Sharma</t>
  </si>
  <si>
    <t>Delhi</t>
  </si>
  <si>
    <t>Aman Verma</t>
  </si>
  <si>
    <t>Noida</t>
  </si>
  <si>
    <t>Priya Singh</t>
  </si>
  <si>
    <t>Riya Gupta</t>
  </si>
  <si>
    <t>Ghaziabad</t>
  </si>
  <si>
    <t>Arjun Mehta</t>
  </si>
  <si>
    <t>Neha Kapoor</t>
  </si>
  <si>
    <t>Karan Malhotra</t>
  </si>
  <si>
    <t>Simran Kaur</t>
  </si>
  <si>
    <t>Mohit Kumar</t>
  </si>
  <si>
    <t>Anjali Verma</t>
  </si>
  <si>
    <t>Rohit Sharma</t>
  </si>
  <si>
    <t>Komal Gupta</t>
  </si>
  <si>
    <t>Vikas Singh</t>
  </si>
  <si>
    <t>Pooja Yadav</t>
  </si>
  <si>
    <t>Aditya Jain</t>
  </si>
  <si>
    <t>Nisha Sharma</t>
  </si>
  <si>
    <t>Varun Mehta</t>
  </si>
  <si>
    <t>Sneha Kapoor</t>
  </si>
  <si>
    <t>Manish Verma</t>
  </si>
  <si>
    <t>Kajal Singh</t>
  </si>
  <si>
    <t>Ravi Kumar</t>
  </si>
  <si>
    <t>Isha Gupta</t>
  </si>
  <si>
    <t>Abhishek Roy</t>
  </si>
  <si>
    <t>Tanya Sharma</t>
  </si>
  <si>
    <t>Sachin Yadav</t>
  </si>
  <si>
    <t>Divya Singh</t>
  </si>
  <si>
    <t>Nitin Kumar</t>
  </si>
  <si>
    <t>Shreya Jain</t>
  </si>
  <si>
    <t>Deepak Verma</t>
  </si>
  <si>
    <t>Megha Kapoor</t>
  </si>
  <si>
    <t>Saurabh Sharma</t>
  </si>
  <si>
    <t>Ritika Gupta</t>
  </si>
  <si>
    <t>Ankit Singh</t>
  </si>
  <si>
    <t>Muskan Yadav</t>
  </si>
  <si>
    <t>Gaurav Mehta</t>
  </si>
  <si>
    <t>Preeti Kumar</t>
  </si>
  <si>
    <t>Raj Malhotra</t>
  </si>
  <si>
    <t>Payal Sharma</t>
  </si>
  <si>
    <t>Akash Verma</t>
  </si>
  <si>
    <t>Shalini Singh</t>
  </si>
  <si>
    <t>Employee Count</t>
  </si>
  <si>
    <t>Average Salary</t>
  </si>
  <si>
    <t>Median Salary</t>
  </si>
  <si>
    <t>Measure</t>
  </si>
  <si>
    <t>Value</t>
  </si>
  <si>
    <t>Q1</t>
  </si>
  <si>
    <t>Q3</t>
  </si>
  <si>
    <t>IQR</t>
  </si>
  <si>
    <t>Lower Bound</t>
  </si>
  <si>
    <t>Upper Bound</t>
  </si>
  <si>
    <t>Data Analytics Dashboard</t>
  </si>
  <si>
    <t>Employee Salary &amp; City Analysis</t>
  </si>
  <si>
    <t>Total Employees</t>
  </si>
  <si>
    <t xml:space="preserve"> Average Salary</t>
  </si>
  <si>
    <t>Highest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</si>
</sst>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 Unicode MS"/>
    </font>
    <font>
      <sz val="28"/>
      <color theme="1"/>
      <name val="Calibri"/>
      <family val="2"/>
      <scheme val="minor"/>
    </font>
    <font>
      <sz val="22"/>
      <color theme="1"/>
      <name val="Arial Rounded MT Bold"/>
      <family val="2"/>
    </font>
    <font>
      <sz val="16"/>
      <color theme="1"/>
      <name val="Calibri"/>
      <family val="2"/>
      <scheme val="minor"/>
    </font>
    <font>
      <sz val="16"/>
      <color theme="1"/>
      <name val="Arial Unicode MS"/>
    </font>
    <font>
      <sz val="14"/>
      <color theme="1"/>
      <name val="Arial Black"/>
      <family val="2"/>
    </font>
    <font>
      <sz val="1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Analysis'!$C$1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07-4A09-8B4C-2822C0FFFA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Analysis'!$A$2:$A$4</c:f>
              <c:strCache>
                <c:ptCount val="3"/>
                <c:pt idx="0">
                  <c:v>Delhi</c:v>
                </c:pt>
                <c:pt idx="1">
                  <c:v>Noida</c:v>
                </c:pt>
                <c:pt idx="2">
                  <c:v>Ghaziabad</c:v>
                </c:pt>
              </c:strCache>
            </c:strRef>
          </c:cat>
          <c:val>
            <c:numRef>
              <c:f>'City Analysis'!$C$2:$C$4</c:f>
              <c:numCache>
                <c:formatCode>0</c:formatCode>
                <c:ptCount val="3"/>
                <c:pt idx="0">
                  <c:v>31476.190476190477</c:v>
                </c:pt>
                <c:pt idx="1">
                  <c:v>33411.76470588235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7-4A09-8B4C-2822C0FFF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7145039"/>
        <c:axId val="897145519"/>
      </c:barChart>
      <c:catAx>
        <c:axId val="8971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45519"/>
        <c:crosses val="autoZero"/>
        <c:auto val="1"/>
        <c:lblAlgn val="ctr"/>
        <c:lblOffset val="100"/>
        <c:noMultiLvlLbl val="0"/>
      </c:catAx>
      <c:valAx>
        <c:axId val="8971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vs Median Salary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Analysis'!$C$1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Analysis'!$A$2:$A$4</c:f>
              <c:strCache>
                <c:ptCount val="3"/>
                <c:pt idx="0">
                  <c:v>Delhi</c:v>
                </c:pt>
                <c:pt idx="1">
                  <c:v>Noida</c:v>
                </c:pt>
                <c:pt idx="2">
                  <c:v>Ghaziabad</c:v>
                </c:pt>
              </c:strCache>
            </c:strRef>
          </c:cat>
          <c:val>
            <c:numRef>
              <c:f>'City Analysis'!$C$2:$C$4</c:f>
              <c:numCache>
                <c:formatCode>0</c:formatCode>
                <c:ptCount val="3"/>
                <c:pt idx="0">
                  <c:v>31476.190476190477</c:v>
                </c:pt>
                <c:pt idx="1">
                  <c:v>33411.76470588235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0-4183-A87C-54B4010E344E}"/>
            </c:ext>
          </c:extLst>
        </c:ser>
        <c:ser>
          <c:idx val="1"/>
          <c:order val="1"/>
          <c:tx>
            <c:strRef>
              <c:f>'City Analysis'!$D$1</c:f>
              <c:strCache>
                <c:ptCount val="1"/>
                <c:pt idx="0">
                  <c:v>Median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Analysis'!$A$2:$A$4</c:f>
              <c:strCache>
                <c:ptCount val="3"/>
                <c:pt idx="0">
                  <c:v>Delhi</c:v>
                </c:pt>
                <c:pt idx="1">
                  <c:v>Noida</c:v>
                </c:pt>
                <c:pt idx="2">
                  <c:v>Ghaziabad</c:v>
                </c:pt>
              </c:strCache>
            </c:strRef>
          </c:cat>
          <c:val>
            <c:numRef>
              <c:f>'City Analysis'!$D$2:$D$4</c:f>
              <c:numCache>
                <c:formatCode>General</c:formatCode>
                <c:ptCount val="3"/>
                <c:pt idx="0">
                  <c:v>30000</c:v>
                </c:pt>
                <c:pt idx="1">
                  <c:v>32000</c:v>
                </c:pt>
                <c:pt idx="2">
                  <c:v>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0-4183-A87C-54B4010E34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7210799"/>
        <c:axId val="897212239"/>
      </c:barChart>
      <c:catAx>
        <c:axId val="8972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12239"/>
        <c:crosses val="autoZero"/>
        <c:auto val="1"/>
        <c:lblAlgn val="ctr"/>
        <c:lblOffset val="100"/>
        <c:noMultiLvlLbl val="0"/>
      </c:catAx>
      <c:valAx>
        <c:axId val="8972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1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Count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Analysis'!$B$1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Analysis'!$A$2:$A$4</c:f>
              <c:strCache>
                <c:ptCount val="3"/>
                <c:pt idx="0">
                  <c:v>Delhi</c:v>
                </c:pt>
                <c:pt idx="1">
                  <c:v>Noida</c:v>
                </c:pt>
                <c:pt idx="2">
                  <c:v>Ghaziabad</c:v>
                </c:pt>
              </c:strCache>
            </c:strRef>
          </c:cat>
          <c:val>
            <c:numRef>
              <c:f>'City Analysis'!$B$2:$B$4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4104-8A97-D32E9C038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7212239"/>
        <c:axId val="897210319"/>
      </c:barChart>
      <c:catAx>
        <c:axId val="89721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10319"/>
        <c:crosses val="autoZero"/>
        <c:auto val="1"/>
        <c:lblAlgn val="ctr"/>
        <c:lblOffset val="100"/>
        <c:noMultiLvlLbl val="0"/>
      </c:catAx>
      <c:valAx>
        <c:axId val="8972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1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vs Salary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 Data'!$F$1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'Cleaned Data'!$C$2:$C$51</c:f>
              <c:numCache>
                <c:formatCode>General</c:formatCode>
                <c:ptCount val="50"/>
                <c:pt idx="0">
                  <c:v>21</c:v>
                </c:pt>
                <c:pt idx="1">
                  <c:v>22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21</c:v>
                </c:pt>
                <c:pt idx="9">
                  <c:v>20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22</c:v>
                </c:pt>
                <c:pt idx="14">
                  <c:v>25</c:v>
                </c:pt>
                <c:pt idx="15">
                  <c:v>21</c:v>
                </c:pt>
                <c:pt idx="16">
                  <c:v>23</c:v>
                </c:pt>
                <c:pt idx="17">
                  <c:v>22</c:v>
                </c:pt>
                <c:pt idx="18">
                  <c:v>22</c:v>
                </c:pt>
                <c:pt idx="19">
                  <c:v>24</c:v>
                </c:pt>
                <c:pt idx="20">
                  <c:v>23</c:v>
                </c:pt>
                <c:pt idx="21">
                  <c:v>20</c:v>
                </c:pt>
                <c:pt idx="22">
                  <c:v>22</c:v>
                </c:pt>
                <c:pt idx="23">
                  <c:v>22</c:v>
                </c:pt>
                <c:pt idx="24">
                  <c:v>24</c:v>
                </c:pt>
                <c:pt idx="25">
                  <c:v>21</c:v>
                </c:pt>
                <c:pt idx="26">
                  <c:v>23</c:v>
                </c:pt>
                <c:pt idx="27">
                  <c:v>20</c:v>
                </c:pt>
                <c:pt idx="28">
                  <c:v>25</c:v>
                </c:pt>
                <c:pt idx="29">
                  <c:v>22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21</c:v>
                </c:pt>
                <c:pt idx="34">
                  <c:v>23</c:v>
                </c:pt>
                <c:pt idx="35">
                  <c:v>20</c:v>
                </c:pt>
                <c:pt idx="36">
                  <c:v>22</c:v>
                </c:pt>
                <c:pt idx="37">
                  <c:v>22</c:v>
                </c:pt>
                <c:pt idx="38">
                  <c:v>24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20</c:v>
                </c:pt>
                <c:pt idx="43">
                  <c:v>19</c:v>
                </c:pt>
                <c:pt idx="44">
                  <c:v>23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21</c:v>
                </c:pt>
                <c:pt idx="49">
                  <c:v>20</c:v>
                </c:pt>
              </c:numCache>
            </c:numRef>
          </c:xVal>
          <c:yVal>
            <c:numRef>
              <c:f>'Cleaned Data'!$F$2:$F$51</c:f>
              <c:numCache>
                <c:formatCode>General</c:formatCode>
                <c:ptCount val="50"/>
                <c:pt idx="0">
                  <c:v>25000</c:v>
                </c:pt>
                <c:pt idx="1">
                  <c:v>30000</c:v>
                </c:pt>
                <c:pt idx="2">
                  <c:v>28000</c:v>
                </c:pt>
                <c:pt idx="3">
                  <c:v>32000</c:v>
                </c:pt>
                <c:pt idx="4">
                  <c:v>35000</c:v>
                </c:pt>
                <c:pt idx="5">
                  <c:v>29000</c:v>
                </c:pt>
                <c:pt idx="6">
                  <c:v>30000</c:v>
                </c:pt>
                <c:pt idx="7">
                  <c:v>31000</c:v>
                </c:pt>
                <c:pt idx="8">
                  <c:v>31000</c:v>
                </c:pt>
                <c:pt idx="9">
                  <c:v>27000</c:v>
                </c:pt>
                <c:pt idx="10">
                  <c:v>40000</c:v>
                </c:pt>
                <c:pt idx="11">
                  <c:v>33000</c:v>
                </c:pt>
                <c:pt idx="12">
                  <c:v>36000</c:v>
                </c:pt>
                <c:pt idx="13">
                  <c:v>28000</c:v>
                </c:pt>
                <c:pt idx="14">
                  <c:v>45000</c:v>
                </c:pt>
                <c:pt idx="15">
                  <c:v>29000</c:v>
                </c:pt>
                <c:pt idx="16">
                  <c:v>38000</c:v>
                </c:pt>
                <c:pt idx="17">
                  <c:v>31000</c:v>
                </c:pt>
                <c:pt idx="18">
                  <c:v>34000</c:v>
                </c:pt>
                <c:pt idx="19">
                  <c:v>36000</c:v>
                </c:pt>
                <c:pt idx="20">
                  <c:v>32000</c:v>
                </c:pt>
                <c:pt idx="21">
                  <c:v>29000</c:v>
                </c:pt>
                <c:pt idx="22">
                  <c:v>41000</c:v>
                </c:pt>
                <c:pt idx="23">
                  <c:v>30000</c:v>
                </c:pt>
                <c:pt idx="24">
                  <c:v>35000</c:v>
                </c:pt>
                <c:pt idx="25">
                  <c:v>28000</c:v>
                </c:pt>
                <c:pt idx="26">
                  <c:v>31000</c:v>
                </c:pt>
                <c:pt idx="27">
                  <c:v>31000</c:v>
                </c:pt>
                <c:pt idx="28">
                  <c:v>42000</c:v>
                </c:pt>
                <c:pt idx="29">
                  <c:v>33000</c:v>
                </c:pt>
                <c:pt idx="30">
                  <c:v>37000</c:v>
                </c:pt>
                <c:pt idx="31">
                  <c:v>29000</c:v>
                </c:pt>
                <c:pt idx="32">
                  <c:v>40000</c:v>
                </c:pt>
                <c:pt idx="33">
                  <c:v>32000</c:v>
                </c:pt>
                <c:pt idx="34">
                  <c:v>36000</c:v>
                </c:pt>
                <c:pt idx="35">
                  <c:v>27000</c:v>
                </c:pt>
                <c:pt idx="36">
                  <c:v>31000</c:v>
                </c:pt>
                <c:pt idx="37">
                  <c:v>30000</c:v>
                </c:pt>
                <c:pt idx="38">
                  <c:v>39000</c:v>
                </c:pt>
                <c:pt idx="39">
                  <c:v>31000</c:v>
                </c:pt>
                <c:pt idx="40">
                  <c:v>25000</c:v>
                </c:pt>
                <c:pt idx="41">
                  <c:v>30000</c:v>
                </c:pt>
                <c:pt idx="42">
                  <c:v>28000</c:v>
                </c:pt>
                <c:pt idx="43">
                  <c:v>32000</c:v>
                </c:pt>
                <c:pt idx="44">
                  <c:v>35000</c:v>
                </c:pt>
                <c:pt idx="45">
                  <c:v>29000</c:v>
                </c:pt>
                <c:pt idx="46">
                  <c:v>30000</c:v>
                </c:pt>
                <c:pt idx="47">
                  <c:v>31000</c:v>
                </c:pt>
                <c:pt idx="48">
                  <c:v>34000</c:v>
                </c:pt>
                <c:pt idx="49">
                  <c:v>27000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A-4A2E-93CB-A9C96AB2B999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897098959"/>
        <c:axId val="897086479"/>
      </c:scatterChart>
      <c:valAx>
        <c:axId val="897098959"/>
        <c:scaling>
          <c:orientation val="minMax"/>
          <c:max val="26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86479"/>
        <c:crosses val="autoZero"/>
        <c:crossBetween val="midCat"/>
        <c:majorUnit val="1"/>
        <c:minorUnit val="1"/>
      </c:valAx>
      <c:valAx>
        <c:axId val="897086479"/>
        <c:scaling>
          <c:orientation val="minMax"/>
          <c:max val="46000"/>
          <c:min val="2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98959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Salary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435C03AE-7ADC-4202-B282-95BE235782A0}">
          <cx:tx>
            <cx:txData>
              <cx:f>_xlchart.v1.0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</xdr:row>
      <xdr:rowOff>9858</xdr:rowOff>
    </xdr:from>
    <xdr:to>
      <xdr:col>6</xdr:col>
      <xdr:colOff>285750</xdr:colOff>
      <xdr:row>18</xdr:row>
      <xdr:rowOff>9858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6C606-A549-A363-53C7-3E5AA884F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777875</xdr:colOff>
      <xdr:row>2</xdr:row>
      <xdr:rowOff>175865</xdr:rowOff>
    </xdr:from>
    <xdr:to>
      <xdr:col>9</xdr:col>
      <xdr:colOff>114300</xdr:colOff>
      <xdr:row>17</xdr:row>
      <xdr:rowOff>175865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EB6370-E699-5C23-C1FA-7DD16641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7712</xdr:colOff>
      <xdr:row>2</xdr:row>
      <xdr:rowOff>159989</xdr:rowOff>
    </xdr:from>
    <xdr:to>
      <xdr:col>16</xdr:col>
      <xdr:colOff>485775</xdr:colOff>
      <xdr:row>17</xdr:row>
      <xdr:rowOff>159990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72482-3237-1B23-582E-E67249FF3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66222</xdr:colOff>
      <xdr:row>19</xdr:row>
      <xdr:rowOff>156633</xdr:rowOff>
    </xdr:from>
    <xdr:to>
      <xdr:col>6</xdr:col>
      <xdr:colOff>8165</xdr:colOff>
      <xdr:row>34</xdr:row>
      <xdr:rowOff>123976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1">
              <a:extLst>
                <a:ext uri="{FF2B5EF4-FFF2-40B4-BE49-F238E27FC236}">
                  <a16:creationId xmlns:a16="http://schemas.microsoft.com/office/drawing/2014/main" id="{49D12D80-3170-A03A-A7E5-F8D2B76C5F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22" y="3879547"/>
              <a:ext cx="369751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665692</xdr:colOff>
      <xdr:row>19</xdr:row>
      <xdr:rowOff>6351</xdr:rowOff>
    </xdr:from>
    <xdr:to>
      <xdr:col>10</xdr:col>
      <xdr:colOff>9525</xdr:colOff>
      <xdr:row>35</xdr:row>
      <xdr:rowOff>165554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40BFE85-B812-92AD-D4F5-BB80F2A3B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489856</xdr:colOff>
      <xdr:row>16</xdr:row>
      <xdr:rowOff>152399</xdr:rowOff>
    </xdr:from>
    <xdr:to>
      <xdr:col>16</xdr:col>
      <xdr:colOff>152400</xdr:colOff>
      <xdr:row>20</xdr:row>
      <xdr:rowOff>97972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FDB1C47-E6D7-35BD-ECA8-6F4454D43D4D}"/>
            </a:ext>
          </a:extLst>
        </xdr:cNvPr>
        <xdr:cNvSpPr txBox="1"/>
      </xdr:nvSpPr>
      <xdr:spPr>
        <a:xfrm>
          <a:off x="9710056" y="3320142"/>
          <a:ext cx="3363687" cy="685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Bahnschrift" panose="020B0502040204020203" pitchFamily="34" charset="0"/>
            </a:rPr>
            <a:t>Key Insight:</a:t>
          </a:r>
          <a:br>
            <a:rPr lang="en-IN">
              <a:latin typeface="Bahnschrift" panose="020B0502040204020203" pitchFamily="34" charset="0"/>
            </a:rPr>
          </a:br>
          <a:r>
            <a:rPr lang="en-IN" b="1">
              <a:latin typeface="+mn-lt"/>
            </a:rPr>
            <a:t>Noida has the highest average salary at ₹33,412, while Delhi has the highest number of employees (21)</a:t>
          </a:r>
          <a:endParaRPr lang="en-IN" sz="1100">
            <a:latin typeface="+mn-lt"/>
          </a:endParaRPr>
        </a:p>
      </xdr:txBody>
    </xdr:sp>
    <xdr:clientData/>
  </xdr:twoCellAnchor>
  <xdr:twoCellAnchor>
    <xdr:from>
      <xdr:col>10</xdr:col>
      <xdr:colOff>478971</xdr:colOff>
      <xdr:row>21</xdr:row>
      <xdr:rowOff>130629</xdr:rowOff>
    </xdr:from>
    <xdr:to>
      <xdr:col>16</xdr:col>
      <xdr:colOff>141514</xdr:colOff>
      <xdr:row>26</xdr:row>
      <xdr:rowOff>21772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51B0973-DE0A-B264-2667-0A6B8783CD01}"/>
            </a:ext>
          </a:extLst>
        </xdr:cNvPr>
        <xdr:cNvSpPr txBox="1"/>
      </xdr:nvSpPr>
      <xdr:spPr>
        <a:xfrm>
          <a:off x="9699171" y="4223658"/>
          <a:ext cx="3363686" cy="816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Bahnschrift" panose="020B0502040204020203" pitchFamily="34" charset="0"/>
            </a:rPr>
            <a:t>Recommendation:</a:t>
          </a:r>
          <a:br>
            <a:rPr lang="en-IN"/>
          </a:br>
          <a:r>
            <a:rPr lang="en-IN" b="1"/>
            <a:t>Focus on Noida for higher salary opportunities, while monitoring Delhi’s larger employee base for workforce planning</a:t>
          </a:r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hin\Downloads\Task2_Exploratory_Data_Analysis.xlsx" TargetMode="External"/><Relationship Id="rId1" Type="http://schemas.openxmlformats.org/officeDocument/2006/relationships/externalLinkPath" Target="file:///C:\Users\abhin\Downloads\Task2_Exploratory_Data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Data"/>
      <sheetName val="EDA Statistics"/>
      <sheetName val="City Analysis"/>
      <sheetName val="Outlier Analysis"/>
      <sheetName val="Charts &amp; Insights"/>
      <sheetName val="Insights"/>
    </sheetNames>
    <sheetDataSet>
      <sheetData sheetId="0">
        <row r="2">
          <cell r="D2" t="str">
            <v>Delhi</v>
          </cell>
          <cell r="F2">
            <v>25000</v>
          </cell>
        </row>
        <row r="3">
          <cell r="D3" t="str">
            <v>Noida</v>
          </cell>
          <cell r="F3">
            <v>30000</v>
          </cell>
        </row>
        <row r="4">
          <cell r="D4" t="str">
            <v>Delhi</v>
          </cell>
          <cell r="F4">
            <v>28000</v>
          </cell>
        </row>
        <row r="5">
          <cell r="D5" t="str">
            <v>Ghaziabad</v>
          </cell>
          <cell r="F5">
            <v>32000</v>
          </cell>
        </row>
        <row r="6">
          <cell r="D6" t="str">
            <v>Noida</v>
          </cell>
          <cell r="F6">
            <v>35000</v>
          </cell>
        </row>
        <row r="7">
          <cell r="D7" t="str">
            <v>Delhi</v>
          </cell>
          <cell r="F7">
            <v>29000</v>
          </cell>
        </row>
        <row r="8">
          <cell r="D8" t="str">
            <v>Delhi</v>
          </cell>
          <cell r="F8">
            <v>30000</v>
          </cell>
        </row>
        <row r="9">
          <cell r="D9" t="str">
            <v>Noida</v>
          </cell>
          <cell r="F9">
            <v>31000</v>
          </cell>
        </row>
        <row r="10">
          <cell r="D10" t="str">
            <v>Ghaziabad</v>
          </cell>
          <cell r="F10">
            <v>31000</v>
          </cell>
        </row>
        <row r="11">
          <cell r="D11" t="str">
            <v>Delhi</v>
          </cell>
          <cell r="F11">
            <v>27000</v>
          </cell>
        </row>
        <row r="12">
          <cell r="D12" t="str">
            <v>Noida</v>
          </cell>
          <cell r="F12">
            <v>40000</v>
          </cell>
        </row>
        <row r="13">
          <cell r="D13" t="str">
            <v>Ghaziabad</v>
          </cell>
          <cell r="F13">
            <v>33000</v>
          </cell>
        </row>
        <row r="14">
          <cell r="D14" t="str">
            <v>Delhi</v>
          </cell>
          <cell r="F14">
            <v>36000</v>
          </cell>
        </row>
        <row r="15">
          <cell r="D15" t="str">
            <v>Noida</v>
          </cell>
          <cell r="F15">
            <v>28000</v>
          </cell>
        </row>
        <row r="16">
          <cell r="D16" t="str">
            <v>Delhi</v>
          </cell>
          <cell r="F16">
            <v>45000</v>
          </cell>
        </row>
        <row r="17">
          <cell r="D17" t="str">
            <v>Ghaziabad</v>
          </cell>
          <cell r="F17">
            <v>29000</v>
          </cell>
        </row>
        <row r="18">
          <cell r="D18" t="str">
            <v>Noida</v>
          </cell>
          <cell r="F18">
            <v>38000</v>
          </cell>
        </row>
        <row r="19">
          <cell r="D19" t="str">
            <v>Delhi</v>
          </cell>
          <cell r="F19">
            <v>31000</v>
          </cell>
        </row>
        <row r="20">
          <cell r="D20" t="str">
            <v>Ghaziabad</v>
          </cell>
          <cell r="F20">
            <v>34000</v>
          </cell>
        </row>
        <row r="21">
          <cell r="D21" t="str">
            <v>Noida</v>
          </cell>
          <cell r="F21">
            <v>36000</v>
          </cell>
        </row>
        <row r="22">
          <cell r="D22" t="str">
            <v>Delhi</v>
          </cell>
          <cell r="F22">
            <v>32000</v>
          </cell>
        </row>
        <row r="23">
          <cell r="D23" t="str">
            <v>Noida</v>
          </cell>
          <cell r="F23">
            <v>29000</v>
          </cell>
        </row>
        <row r="24">
          <cell r="D24" t="str">
            <v>Delhi</v>
          </cell>
          <cell r="F24">
            <v>41000</v>
          </cell>
        </row>
        <row r="25">
          <cell r="D25" t="str">
            <v>Ghaziabad</v>
          </cell>
          <cell r="F25">
            <v>30000</v>
          </cell>
        </row>
        <row r="26">
          <cell r="D26" t="str">
            <v>Noida</v>
          </cell>
          <cell r="F26">
            <v>35000</v>
          </cell>
        </row>
        <row r="27">
          <cell r="D27" t="str">
            <v>Delhi</v>
          </cell>
          <cell r="F27">
            <v>28000</v>
          </cell>
        </row>
        <row r="28">
          <cell r="D28" t="str">
            <v>Delhi</v>
          </cell>
          <cell r="F28">
            <v>31000</v>
          </cell>
        </row>
        <row r="29">
          <cell r="D29" t="str">
            <v>Noida</v>
          </cell>
          <cell r="F29">
            <v>31000</v>
          </cell>
        </row>
        <row r="30">
          <cell r="D30" t="str">
            <v>Ghaziabad</v>
          </cell>
          <cell r="F30">
            <v>42000</v>
          </cell>
        </row>
        <row r="31">
          <cell r="D31" t="str">
            <v>Delhi</v>
          </cell>
          <cell r="F31">
            <v>33000</v>
          </cell>
        </row>
        <row r="32">
          <cell r="D32" t="str">
            <v>Noida</v>
          </cell>
          <cell r="F32">
            <v>37000</v>
          </cell>
        </row>
        <row r="33">
          <cell r="D33" t="str">
            <v>Ghaziabad</v>
          </cell>
          <cell r="F33">
            <v>29000</v>
          </cell>
        </row>
        <row r="34">
          <cell r="D34" t="str">
            <v>Delhi</v>
          </cell>
          <cell r="F34">
            <v>40000</v>
          </cell>
        </row>
        <row r="35">
          <cell r="D35" t="str">
            <v>Noida</v>
          </cell>
          <cell r="F35">
            <v>32000</v>
          </cell>
        </row>
        <row r="36">
          <cell r="D36" t="str">
            <v>Delhi</v>
          </cell>
          <cell r="F36">
            <v>36000</v>
          </cell>
        </row>
        <row r="37">
          <cell r="D37" t="str">
            <v>Ghaziabad</v>
          </cell>
          <cell r="F37">
            <v>27000</v>
          </cell>
        </row>
        <row r="38">
          <cell r="D38" t="str">
            <v>Noida</v>
          </cell>
          <cell r="F38">
            <v>31000</v>
          </cell>
        </row>
        <row r="39">
          <cell r="D39" t="str">
            <v>Delhi</v>
          </cell>
          <cell r="F39">
            <v>30000</v>
          </cell>
        </row>
        <row r="40">
          <cell r="D40" t="str">
            <v>Noida</v>
          </cell>
          <cell r="F40">
            <v>39000</v>
          </cell>
        </row>
        <row r="41">
          <cell r="D41" t="str">
            <v>Ghaziabad</v>
          </cell>
          <cell r="F41">
            <v>31000</v>
          </cell>
        </row>
        <row r="42">
          <cell r="D42" t="str">
            <v>Delhi</v>
          </cell>
          <cell r="F42">
            <v>25000</v>
          </cell>
        </row>
        <row r="43">
          <cell r="D43" t="str">
            <v>Noida</v>
          </cell>
          <cell r="F43">
            <v>30000</v>
          </cell>
        </row>
        <row r="44">
          <cell r="D44" t="str">
            <v>Delhi</v>
          </cell>
          <cell r="F44">
            <v>28000</v>
          </cell>
        </row>
        <row r="45">
          <cell r="D45" t="str">
            <v>Ghaziabad</v>
          </cell>
          <cell r="F45">
            <v>32000</v>
          </cell>
        </row>
        <row r="46">
          <cell r="D46" t="str">
            <v>Noida</v>
          </cell>
          <cell r="F46">
            <v>35000</v>
          </cell>
        </row>
        <row r="47">
          <cell r="D47" t="str">
            <v>Delhi</v>
          </cell>
          <cell r="F47">
            <v>29000</v>
          </cell>
        </row>
        <row r="48">
          <cell r="D48" t="str">
            <v>Delhi</v>
          </cell>
          <cell r="F48">
            <v>30000</v>
          </cell>
        </row>
        <row r="49">
          <cell r="D49" t="str">
            <v>Noida</v>
          </cell>
          <cell r="F49">
            <v>31000</v>
          </cell>
        </row>
        <row r="50">
          <cell r="D50" t="str">
            <v>Ghaziabad</v>
          </cell>
          <cell r="F50">
            <v>34000</v>
          </cell>
        </row>
        <row r="51">
          <cell r="D51" t="str">
            <v>Delhi</v>
          </cell>
          <cell r="F51">
            <v>27000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85E6-A234-4EE7-83B3-B7CE19E6C63C}">
  <dimension ref="A1:F55"/>
  <sheetViews>
    <sheetView topLeftCell="A15" zoomScale="90" zoomScaleNormal="90" workbookViewId="0">
      <selection activeCell="T31" sqref="T31"/>
    </sheetView>
  </sheetViews>
  <sheetFormatPr defaultRowHeight="14.4"/>
  <cols>
    <col min="1" max="1" width="7.44140625" customWidth="1"/>
    <col min="2" max="2" width="16.77734375" customWidth="1"/>
    <col min="3" max="3" width="6.109375" customWidth="1"/>
    <col min="4" max="4" width="12.44140625" customWidth="1"/>
    <col min="5" max="5" width="14.21875" customWidth="1"/>
    <col min="6" max="6" width="8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>
        <v>101</v>
      </c>
      <c r="B2" t="s">
        <v>6</v>
      </c>
      <c r="C2">
        <v>21</v>
      </c>
      <c r="D2" t="s">
        <v>7</v>
      </c>
      <c r="E2" s="1">
        <v>46143</v>
      </c>
      <c r="F2">
        <v>25000</v>
      </c>
    </row>
    <row r="3" spans="1:6">
      <c r="A3">
        <v>102</v>
      </c>
      <c r="B3" t="s">
        <v>8</v>
      </c>
      <c r="C3">
        <v>22</v>
      </c>
      <c r="D3" t="s">
        <v>9</v>
      </c>
      <c r="E3" s="1">
        <v>46144</v>
      </c>
      <c r="F3">
        <v>30000</v>
      </c>
    </row>
    <row r="4" spans="1:6">
      <c r="A4">
        <v>103</v>
      </c>
      <c r="B4" t="s">
        <v>10</v>
      </c>
      <c r="C4">
        <v>20</v>
      </c>
      <c r="D4" t="s">
        <v>7</v>
      </c>
      <c r="E4" s="1">
        <v>46145</v>
      </c>
      <c r="F4">
        <v>28000</v>
      </c>
    </row>
    <row r="5" spans="1:6">
      <c r="A5">
        <v>104</v>
      </c>
      <c r="B5" t="s">
        <v>11</v>
      </c>
      <c r="C5">
        <v>22</v>
      </c>
      <c r="D5" t="s">
        <v>12</v>
      </c>
      <c r="E5" s="1">
        <v>46146</v>
      </c>
      <c r="F5">
        <v>32000</v>
      </c>
    </row>
    <row r="6" spans="1:6">
      <c r="A6">
        <v>105</v>
      </c>
      <c r="B6" t="s">
        <v>13</v>
      </c>
      <c r="C6">
        <v>23</v>
      </c>
      <c r="D6" t="s">
        <v>9</v>
      </c>
      <c r="E6" s="1">
        <v>46147</v>
      </c>
      <c r="F6">
        <v>35000</v>
      </c>
    </row>
    <row r="7" spans="1:6">
      <c r="A7">
        <v>106</v>
      </c>
      <c r="B7" t="s">
        <v>14</v>
      </c>
      <c r="C7">
        <v>21</v>
      </c>
      <c r="D7" t="s">
        <v>7</v>
      </c>
      <c r="E7" s="1">
        <v>46147</v>
      </c>
      <c r="F7">
        <v>29000</v>
      </c>
    </row>
    <row r="8" spans="1:6">
      <c r="A8">
        <v>107</v>
      </c>
      <c r="B8" t="s">
        <v>15</v>
      </c>
      <c r="C8">
        <v>22</v>
      </c>
      <c r="D8" t="s">
        <v>7</v>
      </c>
      <c r="E8" s="1">
        <v>46150</v>
      </c>
      <c r="F8">
        <v>30000</v>
      </c>
    </row>
    <row r="9" spans="1:6">
      <c r="A9">
        <v>108</v>
      </c>
      <c r="B9" t="s">
        <v>16</v>
      </c>
      <c r="C9">
        <v>22</v>
      </c>
      <c r="D9" t="s">
        <v>9</v>
      </c>
      <c r="E9" s="1">
        <v>46151</v>
      </c>
      <c r="F9">
        <v>31000</v>
      </c>
    </row>
    <row r="10" spans="1:6">
      <c r="A10">
        <v>109</v>
      </c>
      <c r="B10" t="s">
        <v>17</v>
      </c>
      <c r="C10">
        <v>21</v>
      </c>
      <c r="D10" t="s">
        <v>12</v>
      </c>
      <c r="E10" s="1">
        <v>46152</v>
      </c>
      <c r="F10" s="2">
        <v>31000</v>
      </c>
    </row>
    <row r="11" spans="1:6">
      <c r="A11">
        <v>110</v>
      </c>
      <c r="B11" t="s">
        <v>18</v>
      </c>
      <c r="C11">
        <v>20</v>
      </c>
      <c r="D11" t="s">
        <v>7</v>
      </c>
      <c r="E11" s="1">
        <v>46153</v>
      </c>
      <c r="F11">
        <v>27000</v>
      </c>
    </row>
    <row r="12" spans="1:6">
      <c r="A12">
        <v>111</v>
      </c>
      <c r="B12" t="s">
        <v>19</v>
      </c>
      <c r="C12">
        <v>24</v>
      </c>
      <c r="D12" t="s">
        <v>9</v>
      </c>
      <c r="E12" s="1">
        <v>46154</v>
      </c>
      <c r="F12">
        <v>40000</v>
      </c>
    </row>
    <row r="13" spans="1:6">
      <c r="A13">
        <v>112</v>
      </c>
      <c r="B13" t="s">
        <v>20</v>
      </c>
      <c r="C13">
        <v>23</v>
      </c>
      <c r="D13" t="s">
        <v>12</v>
      </c>
      <c r="E13" s="1">
        <v>46155</v>
      </c>
      <c r="F13">
        <v>33000</v>
      </c>
    </row>
    <row r="14" spans="1:6">
      <c r="A14">
        <v>113</v>
      </c>
      <c r="B14" t="s">
        <v>21</v>
      </c>
      <c r="C14">
        <v>22</v>
      </c>
      <c r="D14" t="s">
        <v>7</v>
      </c>
      <c r="E14" s="1">
        <v>46156</v>
      </c>
      <c r="F14">
        <v>36000</v>
      </c>
    </row>
    <row r="15" spans="1:6">
      <c r="A15">
        <v>114</v>
      </c>
      <c r="B15" t="s">
        <v>22</v>
      </c>
      <c r="C15">
        <v>22</v>
      </c>
      <c r="D15" t="s">
        <v>9</v>
      </c>
      <c r="E15" s="1">
        <v>46157</v>
      </c>
      <c r="F15">
        <v>28000</v>
      </c>
    </row>
    <row r="16" spans="1:6">
      <c r="A16">
        <v>115</v>
      </c>
      <c r="B16" t="s">
        <v>23</v>
      </c>
      <c r="C16">
        <v>25</v>
      </c>
      <c r="D16" t="s">
        <v>7</v>
      </c>
      <c r="E16" s="1">
        <v>46158</v>
      </c>
      <c r="F16">
        <v>45000</v>
      </c>
    </row>
    <row r="17" spans="1:6">
      <c r="A17">
        <v>116</v>
      </c>
      <c r="B17" t="s">
        <v>24</v>
      </c>
      <c r="C17">
        <v>21</v>
      </c>
      <c r="D17" t="s">
        <v>12</v>
      </c>
      <c r="E17" s="1">
        <v>46159</v>
      </c>
      <c r="F17">
        <v>29000</v>
      </c>
    </row>
    <row r="18" spans="1:6">
      <c r="A18">
        <v>117</v>
      </c>
      <c r="B18" t="s">
        <v>25</v>
      </c>
      <c r="C18">
        <v>23</v>
      </c>
      <c r="D18" t="s">
        <v>9</v>
      </c>
      <c r="E18" s="1">
        <v>46160</v>
      </c>
      <c r="F18">
        <v>38000</v>
      </c>
    </row>
    <row r="19" spans="1:6">
      <c r="A19">
        <v>118</v>
      </c>
      <c r="B19" t="s">
        <v>26</v>
      </c>
      <c r="C19">
        <v>22</v>
      </c>
      <c r="D19" t="s">
        <v>7</v>
      </c>
      <c r="E19" s="1">
        <v>46161</v>
      </c>
      <c r="F19">
        <v>31000</v>
      </c>
    </row>
    <row r="20" spans="1:6">
      <c r="A20">
        <v>119</v>
      </c>
      <c r="B20" t="s">
        <v>27</v>
      </c>
      <c r="C20">
        <v>22</v>
      </c>
      <c r="D20" t="s">
        <v>12</v>
      </c>
      <c r="E20" s="1">
        <v>46162</v>
      </c>
      <c r="F20">
        <v>34000</v>
      </c>
    </row>
    <row r="21" spans="1:6">
      <c r="A21">
        <v>120</v>
      </c>
      <c r="B21" t="s">
        <v>28</v>
      </c>
      <c r="C21">
        <v>24</v>
      </c>
      <c r="D21" t="s">
        <v>9</v>
      </c>
      <c r="E21" s="1">
        <v>46163</v>
      </c>
      <c r="F21">
        <v>36000</v>
      </c>
    </row>
    <row r="22" spans="1:6">
      <c r="A22">
        <v>121</v>
      </c>
      <c r="B22" t="s">
        <v>29</v>
      </c>
      <c r="C22">
        <v>23</v>
      </c>
      <c r="D22" t="s">
        <v>7</v>
      </c>
      <c r="E22" s="1">
        <v>46164</v>
      </c>
      <c r="F22">
        <v>32000</v>
      </c>
    </row>
    <row r="23" spans="1:6">
      <c r="A23">
        <v>122</v>
      </c>
      <c r="B23" t="s">
        <v>30</v>
      </c>
      <c r="C23">
        <v>20</v>
      </c>
      <c r="D23" t="s">
        <v>9</v>
      </c>
      <c r="E23" s="1">
        <v>46165</v>
      </c>
      <c r="F23">
        <v>29000</v>
      </c>
    </row>
    <row r="24" spans="1:6">
      <c r="A24">
        <v>123</v>
      </c>
      <c r="B24" t="s">
        <v>31</v>
      </c>
      <c r="C24">
        <v>22</v>
      </c>
      <c r="D24" t="s">
        <v>7</v>
      </c>
      <c r="E24" s="1">
        <v>46166</v>
      </c>
      <c r="F24">
        <v>41000</v>
      </c>
    </row>
    <row r="25" spans="1:6">
      <c r="A25">
        <v>124</v>
      </c>
      <c r="B25" t="s">
        <v>32</v>
      </c>
      <c r="C25">
        <v>22</v>
      </c>
      <c r="D25" t="s">
        <v>12</v>
      </c>
      <c r="E25" s="1">
        <v>46167</v>
      </c>
      <c r="F25">
        <v>30000</v>
      </c>
    </row>
    <row r="26" spans="1:6">
      <c r="A26">
        <v>125</v>
      </c>
      <c r="B26" t="s">
        <v>33</v>
      </c>
      <c r="C26">
        <v>24</v>
      </c>
      <c r="D26" t="s">
        <v>9</v>
      </c>
      <c r="E26" s="1">
        <v>46168</v>
      </c>
      <c r="F26">
        <v>35000</v>
      </c>
    </row>
    <row r="27" spans="1:6">
      <c r="A27">
        <v>126</v>
      </c>
      <c r="B27" t="s">
        <v>34</v>
      </c>
      <c r="C27">
        <v>21</v>
      </c>
      <c r="D27" t="s">
        <v>7</v>
      </c>
      <c r="E27" s="1">
        <v>46169</v>
      </c>
      <c r="F27">
        <v>28000</v>
      </c>
    </row>
    <row r="28" spans="1:6">
      <c r="A28">
        <v>127</v>
      </c>
      <c r="B28" t="s">
        <v>35</v>
      </c>
      <c r="C28">
        <v>23</v>
      </c>
      <c r="D28" t="s">
        <v>7</v>
      </c>
      <c r="E28" s="1">
        <v>46170</v>
      </c>
      <c r="F28">
        <v>31000</v>
      </c>
    </row>
    <row r="29" spans="1:6">
      <c r="A29">
        <v>128</v>
      </c>
      <c r="B29" t="s">
        <v>36</v>
      </c>
      <c r="C29">
        <v>20</v>
      </c>
      <c r="D29" t="s">
        <v>9</v>
      </c>
      <c r="E29" s="1">
        <v>46171</v>
      </c>
      <c r="F29">
        <v>31000</v>
      </c>
    </row>
    <row r="30" spans="1:6">
      <c r="A30">
        <v>129</v>
      </c>
      <c r="B30" t="s">
        <v>37</v>
      </c>
      <c r="C30">
        <v>25</v>
      </c>
      <c r="D30" t="s">
        <v>12</v>
      </c>
      <c r="E30" s="1">
        <v>46172</v>
      </c>
      <c r="F30">
        <v>42000</v>
      </c>
    </row>
    <row r="31" spans="1:6">
      <c r="A31">
        <v>130</v>
      </c>
      <c r="B31" t="s">
        <v>38</v>
      </c>
      <c r="C31">
        <v>22</v>
      </c>
      <c r="D31" t="s">
        <v>7</v>
      </c>
      <c r="E31" s="1">
        <v>46173</v>
      </c>
      <c r="F31">
        <v>33000</v>
      </c>
    </row>
    <row r="32" spans="1:6">
      <c r="A32">
        <v>131</v>
      </c>
      <c r="B32" t="s">
        <v>39</v>
      </c>
      <c r="C32">
        <v>22</v>
      </c>
      <c r="D32" t="s">
        <v>9</v>
      </c>
      <c r="E32" s="1">
        <v>46174</v>
      </c>
      <c r="F32">
        <v>37000</v>
      </c>
    </row>
    <row r="33" spans="1:6">
      <c r="A33">
        <v>132</v>
      </c>
      <c r="B33" t="s">
        <v>40</v>
      </c>
      <c r="C33">
        <v>23</v>
      </c>
      <c r="D33" t="s">
        <v>12</v>
      </c>
      <c r="E33" s="1">
        <v>46175</v>
      </c>
      <c r="F33">
        <v>29000</v>
      </c>
    </row>
    <row r="34" spans="1:6">
      <c r="A34">
        <v>133</v>
      </c>
      <c r="B34" t="s">
        <v>41</v>
      </c>
      <c r="C34">
        <v>24</v>
      </c>
      <c r="D34" t="s">
        <v>7</v>
      </c>
      <c r="E34" s="1">
        <v>46176</v>
      </c>
      <c r="F34">
        <v>40000</v>
      </c>
    </row>
    <row r="35" spans="1:6">
      <c r="A35">
        <v>134</v>
      </c>
      <c r="B35" t="s">
        <v>42</v>
      </c>
      <c r="C35">
        <v>21</v>
      </c>
      <c r="D35" t="s">
        <v>9</v>
      </c>
      <c r="E35" s="1">
        <v>46177</v>
      </c>
      <c r="F35">
        <v>32000</v>
      </c>
    </row>
    <row r="36" spans="1:6">
      <c r="A36">
        <v>135</v>
      </c>
      <c r="B36" t="s">
        <v>43</v>
      </c>
      <c r="C36">
        <v>23</v>
      </c>
      <c r="D36" t="s">
        <v>7</v>
      </c>
      <c r="E36" s="1">
        <v>46178</v>
      </c>
      <c r="F36">
        <v>36000</v>
      </c>
    </row>
    <row r="37" spans="1:6">
      <c r="A37">
        <v>136</v>
      </c>
      <c r="B37" t="s">
        <v>44</v>
      </c>
      <c r="C37">
        <v>20</v>
      </c>
      <c r="D37" t="s">
        <v>12</v>
      </c>
      <c r="E37" s="1">
        <v>46179</v>
      </c>
      <c r="F37">
        <v>27000</v>
      </c>
    </row>
    <row r="38" spans="1:6">
      <c r="A38">
        <v>137</v>
      </c>
      <c r="B38" t="s">
        <v>45</v>
      </c>
      <c r="C38">
        <v>22</v>
      </c>
      <c r="D38" t="s">
        <v>9</v>
      </c>
      <c r="E38" s="1">
        <v>46180</v>
      </c>
      <c r="F38" s="2">
        <v>31000</v>
      </c>
    </row>
    <row r="39" spans="1:6">
      <c r="A39">
        <v>138</v>
      </c>
      <c r="B39" t="s">
        <v>46</v>
      </c>
      <c r="C39">
        <v>22</v>
      </c>
      <c r="D39" t="s">
        <v>7</v>
      </c>
      <c r="E39" s="1">
        <v>46181</v>
      </c>
      <c r="F39">
        <v>30000</v>
      </c>
    </row>
    <row r="40" spans="1:6">
      <c r="A40">
        <v>139</v>
      </c>
      <c r="B40" t="s">
        <v>47</v>
      </c>
      <c r="C40">
        <v>24</v>
      </c>
      <c r="D40" t="s">
        <v>9</v>
      </c>
      <c r="E40" s="1">
        <v>46182</v>
      </c>
      <c r="F40">
        <v>39000</v>
      </c>
    </row>
    <row r="41" spans="1:6">
      <c r="A41">
        <v>140</v>
      </c>
      <c r="B41" t="s">
        <v>48</v>
      </c>
      <c r="C41">
        <v>21</v>
      </c>
      <c r="D41" t="s">
        <v>12</v>
      </c>
      <c r="E41" s="1">
        <v>46183</v>
      </c>
      <c r="F41">
        <v>31000</v>
      </c>
    </row>
    <row r="42" spans="1:6">
      <c r="A42">
        <v>141</v>
      </c>
      <c r="B42" t="s">
        <v>6</v>
      </c>
      <c r="C42">
        <v>21</v>
      </c>
      <c r="D42" t="s">
        <v>7</v>
      </c>
      <c r="E42" s="1">
        <v>46143</v>
      </c>
      <c r="F42">
        <v>25000</v>
      </c>
    </row>
    <row r="43" spans="1:6">
      <c r="A43">
        <v>142</v>
      </c>
      <c r="B43" t="s">
        <v>8</v>
      </c>
      <c r="C43">
        <v>22</v>
      </c>
      <c r="D43" t="s">
        <v>9</v>
      </c>
      <c r="E43" s="1">
        <v>46144</v>
      </c>
      <c r="F43">
        <v>30000</v>
      </c>
    </row>
    <row r="44" spans="1:6">
      <c r="A44">
        <v>143</v>
      </c>
      <c r="B44" t="s">
        <v>10</v>
      </c>
      <c r="C44">
        <v>20</v>
      </c>
      <c r="D44" t="s">
        <v>7</v>
      </c>
      <c r="E44" s="1">
        <v>46145</v>
      </c>
      <c r="F44">
        <v>28000</v>
      </c>
    </row>
    <row r="45" spans="1:6">
      <c r="A45">
        <v>144</v>
      </c>
      <c r="B45" t="s">
        <v>11</v>
      </c>
      <c r="C45">
        <v>19</v>
      </c>
      <c r="D45" t="s">
        <v>12</v>
      </c>
      <c r="E45" s="1">
        <v>46146</v>
      </c>
      <c r="F45">
        <v>32000</v>
      </c>
    </row>
    <row r="46" spans="1:6">
      <c r="A46">
        <v>145</v>
      </c>
      <c r="B46" t="s">
        <v>13</v>
      </c>
      <c r="C46">
        <v>23</v>
      </c>
      <c r="D46" t="s">
        <v>9</v>
      </c>
      <c r="E46" s="1">
        <v>46147</v>
      </c>
      <c r="F46">
        <v>35000</v>
      </c>
    </row>
    <row r="47" spans="1:6">
      <c r="A47">
        <v>146</v>
      </c>
      <c r="B47" t="s">
        <v>14</v>
      </c>
      <c r="C47">
        <v>21</v>
      </c>
      <c r="D47" t="s">
        <v>7</v>
      </c>
      <c r="E47" s="1">
        <v>46153</v>
      </c>
      <c r="F47">
        <v>29000</v>
      </c>
    </row>
    <row r="48" spans="1:6">
      <c r="A48">
        <v>147</v>
      </c>
      <c r="B48" t="s">
        <v>15</v>
      </c>
      <c r="C48">
        <v>22</v>
      </c>
      <c r="D48" t="s">
        <v>7</v>
      </c>
      <c r="E48" s="1">
        <v>46150</v>
      </c>
      <c r="F48">
        <v>30000</v>
      </c>
    </row>
    <row r="49" spans="1:6">
      <c r="A49">
        <v>148</v>
      </c>
      <c r="B49" t="s">
        <v>16</v>
      </c>
      <c r="C49">
        <v>22</v>
      </c>
      <c r="D49" t="s">
        <v>9</v>
      </c>
      <c r="E49" s="1">
        <v>46151</v>
      </c>
      <c r="F49">
        <v>31000</v>
      </c>
    </row>
    <row r="50" spans="1:6">
      <c r="A50">
        <v>149</v>
      </c>
      <c r="B50" t="s">
        <v>17</v>
      </c>
      <c r="C50">
        <v>21</v>
      </c>
      <c r="D50" t="s">
        <v>12</v>
      </c>
      <c r="E50" s="1">
        <v>46152</v>
      </c>
      <c r="F50">
        <v>34000</v>
      </c>
    </row>
    <row r="51" spans="1:6">
      <c r="A51">
        <v>150</v>
      </c>
      <c r="B51" t="s">
        <v>18</v>
      </c>
      <c r="C51">
        <v>20</v>
      </c>
      <c r="D51" t="s">
        <v>7</v>
      </c>
      <c r="E51" s="1">
        <v>46153</v>
      </c>
      <c r="F51">
        <v>27000</v>
      </c>
    </row>
    <row r="53" spans="1:6">
      <c r="F53" s="2"/>
    </row>
    <row r="55" spans="1:6">
      <c r="F5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9A03-6382-45FC-BE44-8027B89FD832}">
  <dimension ref="A1:D4"/>
  <sheetViews>
    <sheetView zoomScale="90" zoomScaleNormal="90" workbookViewId="0">
      <selection activeCell="P5" sqref="P5"/>
    </sheetView>
  </sheetViews>
  <sheetFormatPr defaultRowHeight="14.4"/>
  <cols>
    <col min="1" max="1" width="9.5546875" customWidth="1"/>
    <col min="2" max="2" width="9.44140625" customWidth="1"/>
    <col min="3" max="3" width="11.5546875" bestFit="1" customWidth="1"/>
  </cols>
  <sheetData>
    <row r="1" spans="1:4" ht="28.8">
      <c r="A1" s="3" t="s">
        <v>3</v>
      </c>
      <c r="B1" s="4" t="s">
        <v>49</v>
      </c>
      <c r="C1" s="4" t="s">
        <v>50</v>
      </c>
      <c r="D1" s="4" t="s">
        <v>51</v>
      </c>
    </row>
    <row r="2" spans="1:4">
      <c r="A2" s="5" t="s">
        <v>7</v>
      </c>
      <c r="B2" s="6">
        <f>COUNTIF('[1]Cleaned Data'!D2:D51,A2)</f>
        <v>21</v>
      </c>
      <c r="C2" s="7">
        <f>AVERAGEIF('[1]Cleaned Data'!D2:D51,A2,'[1]Cleaned Data'!F2:F51)</f>
        <v>31476.190476190477</v>
      </c>
      <c r="D2" s="6">
        <v>30000</v>
      </c>
    </row>
    <row r="3" spans="1:4">
      <c r="A3" s="5" t="s">
        <v>9</v>
      </c>
      <c r="B3" s="6">
        <f>COUNTIF('[1]Cleaned Data'!D2:D51,A3)</f>
        <v>17</v>
      </c>
      <c r="C3" s="7">
        <f>AVERAGEIF('[1]Cleaned Data'!D2:D51,A3,'[1]Cleaned Data'!F2:F51)</f>
        <v>33411.76470588235</v>
      </c>
      <c r="D3" s="6">
        <v>32000</v>
      </c>
    </row>
    <row r="4" spans="1:4">
      <c r="A4" s="5" t="s">
        <v>12</v>
      </c>
      <c r="B4" s="6">
        <f>COUNTIF('[1]Cleaned Data'!D2:D51,A4)</f>
        <v>12</v>
      </c>
      <c r="C4" s="7">
        <f>AVERAGEIF('[1]Cleaned Data'!D2:D51,A4,'[1]Cleaned Data'!F2:F51)</f>
        <v>32000</v>
      </c>
      <c r="D4" s="8">
        <v>31500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AB86-7312-4053-B61E-6AE85EBD9A98}">
  <dimension ref="A1:B6"/>
  <sheetViews>
    <sheetView zoomScale="90" zoomScaleNormal="90" workbookViewId="0">
      <selection activeCell="E16" sqref="E16"/>
    </sheetView>
  </sheetViews>
  <sheetFormatPr defaultRowHeight="14.4"/>
  <cols>
    <col min="1" max="1" width="13" customWidth="1"/>
  </cols>
  <sheetData>
    <row r="1" spans="1:2">
      <c r="A1" s="3" t="s">
        <v>52</v>
      </c>
      <c r="B1" s="4" t="s">
        <v>53</v>
      </c>
    </row>
    <row r="2" spans="1:2">
      <c r="A2" s="5" t="s">
        <v>54</v>
      </c>
      <c r="B2" s="6">
        <v>29000</v>
      </c>
    </row>
    <row r="3" spans="1:2">
      <c r="A3" s="5" t="s">
        <v>55</v>
      </c>
      <c r="B3" s="6">
        <v>35000</v>
      </c>
    </row>
    <row r="4" spans="1:2">
      <c r="A4" s="5" t="s">
        <v>56</v>
      </c>
      <c r="B4" s="6">
        <f>B3-B2</f>
        <v>6000</v>
      </c>
    </row>
    <row r="5" spans="1:2" ht="15" customHeight="1">
      <c r="A5" s="5" t="s">
        <v>57</v>
      </c>
      <c r="B5" s="6">
        <f>B2-(1.5*B4)</f>
        <v>20000</v>
      </c>
    </row>
    <row r="6" spans="1:2" ht="15" customHeight="1">
      <c r="A6" s="5" t="s">
        <v>58</v>
      </c>
      <c r="B6" s="6">
        <f>B3+(1.5*B4)</f>
        <v>44000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B0A4-5CB3-461C-93CA-8D48B8683AB7}">
  <dimension ref="B1:K38"/>
  <sheetViews>
    <sheetView showGridLines="0" tabSelected="1" zoomScale="70" zoomScaleNormal="70" workbookViewId="0">
      <selection activeCell="T20" sqref="T20"/>
    </sheetView>
  </sheetViews>
  <sheetFormatPr defaultRowHeight="14.4"/>
  <cols>
    <col min="2" max="2" width="9" bestFit="1" customWidth="1"/>
    <col min="5" max="5" width="10.109375" bestFit="1" customWidth="1"/>
    <col min="7" max="7" width="52.5546875" customWidth="1"/>
    <col min="8" max="8" width="9.33203125" bestFit="1" customWidth="1"/>
    <col min="11" max="11" width="9.33203125" bestFit="1" customWidth="1"/>
    <col min="14" max="14" width="9" customWidth="1"/>
  </cols>
  <sheetData>
    <row r="1" spans="7:8" ht="30" customHeight="1">
      <c r="G1" s="10" t="s">
        <v>59</v>
      </c>
      <c r="H1" s="9"/>
    </row>
    <row r="2" spans="7:8" ht="15">
      <c r="G2" s="14" t="s">
        <v>60</v>
      </c>
    </row>
    <row r="37" spans="2:11" s="13" customFormat="1" ht="21">
      <c r="B37" s="13" t="s">
        <v>61</v>
      </c>
      <c r="E37" s="13" t="s">
        <v>62</v>
      </c>
      <c r="H37" s="13" t="s">
        <v>51</v>
      </c>
      <c r="K37" s="13" t="s">
        <v>63</v>
      </c>
    </row>
    <row r="38" spans="2:11" s="11" customFormat="1" ht="21">
      <c r="B38" s="11">
        <v>50</v>
      </c>
      <c r="E38" s="12">
        <v>32260</v>
      </c>
      <c r="H38" s="11">
        <v>31000</v>
      </c>
      <c r="K38" s="11">
        <v>45000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City Analysis</vt:lpstr>
      <vt:lpstr>Outlier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Maurya</dc:creator>
  <cp:lastModifiedBy>Abhinav Maurya</cp:lastModifiedBy>
  <dcterms:created xsi:type="dcterms:W3CDTF">2026-09-11T13:24:41Z</dcterms:created>
  <dcterms:modified xsi:type="dcterms:W3CDTF">2026-09-11T20:59:49Z</dcterms:modified>
</cp:coreProperties>
</file>